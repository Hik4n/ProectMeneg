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Настройки" sheetId="1" r:id="rId5"/>
    <sheet state="visible" name="Концепции" sheetId="2" r:id="rId6"/>
    <sheet state="visible" name="Эксперт 1" sheetId="3" r:id="rId7"/>
    <sheet state="visible" name="Эксперт 2" sheetId="4" r:id="rId8"/>
    <sheet state="visible" name="Эксперт 3" sheetId="5" r:id="rId9"/>
    <sheet state="visible" name="Эксперт 4" sheetId="6" r:id="rId10"/>
    <sheet state="visible" name="TOPSIS" sheetId="7" r:id="rId11"/>
    <sheet state="visible" name="МАИ" sheetId="8" r:id="rId12"/>
    <sheet state="visible" name="Итог" sheetId="9" r:id="rId13"/>
    <sheet state="visible" name="Инструкция" sheetId="10" r:id="rId14"/>
    <sheet state="visible" name="Журнал работ" sheetId="11" r:id="rId15"/>
  </sheets>
  <definedNames>
    <definedName hidden="1" localSheetId="10" name="_xlnm._FilterDatabase">'Журнал работ'!$A$4:$I$24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4">
      <text>
        <t xml:space="preserve">Практическая полезность: 8. Оценка предложена ассистентом и подтверждена Кветкиным Дмитрием Евгеньевичем 13.10.2026.</t>
      </text>
    </comment>
    <comment authorId="0" ref="C14">
      <text>
        <t xml:space="preserve">Простота реализации: 7. Оценка предложена ассистентом и подтверждена Кветкиным Дмитрием Евгеньевичем 13.10.2026.</t>
      </text>
    </comment>
    <comment authorId="0" ref="D14">
      <text>
        <t xml:space="preserve">Удобство оценки и планирования: 9. Оценка предложена ассистентом и подтверждена Кветкиным Дмитрием Евгеньевичем 13.10.2026.</t>
      </text>
    </comment>
    <comment authorId="0" ref="E14">
      <text>
        <t xml:space="preserve">Интерес к теме: 9. Оценка предложена ассистентом и подтверждена Кветкиным Дмитрием Евгеньевичем 13.10.2026.</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Фактическое время одного участника по задаче. 30 минут = 0,5 часа.</t>
      </text>
    </comment>
  </commentList>
</comments>
</file>

<file path=xl/sharedStrings.xml><?xml version="1.0" encoding="utf-8"?>
<sst xmlns="http://schemas.openxmlformats.org/spreadsheetml/2006/main" count="712" uniqueCount="318">
  <si>
    <t>Концепции критерии и участники</t>
  </si>
  <si>
    <t>Замените названия и критерии перед оцениванием. Цветные ячейки доступны для ввода.</t>
  </si>
  <si>
    <t>Индивидуальные оценки эксперта 1</t>
  </si>
  <si>
    <t>Код эксперта</t>
  </si>
  <si>
    <t>Участник</t>
  </si>
  <si>
    <t>ФИО</t>
  </si>
  <si>
    <t>Концепции проектов</t>
  </si>
  <si>
    <t>Э1</t>
  </si>
  <si>
    <t>Кветкин Дмитрий Евгеньевич</t>
  </si>
  <si>
    <t>Э2</t>
  </si>
  <si>
    <t>Колбасин Николай Владимирович</t>
  </si>
  <si>
    <t>Э3</t>
  </si>
  <si>
    <t>Добросоцкий Михаил Сергеевич</t>
  </si>
  <si>
    <t>Э4</t>
  </si>
  <si>
    <t>Катаев Максим Игоревич</t>
  </si>
  <si>
    <t>Согласуйте 4 концепции и критерии, затем каждый независимо оценивает все проекты.</t>
  </si>
  <si>
    <t>Индивидуальные оценки эксперта 2</t>
  </si>
  <si>
    <t>Названия связаны с «Настройками». Заполняйте жёлтые ячейки; требуется 10–15 сценариев на концепцию.</t>
  </si>
  <si>
    <t>A1: описание концепции</t>
  </si>
  <si>
    <t>Код</t>
  </si>
  <si>
    <t>A1</t>
  </si>
  <si>
    <t>Заполняйте только жёлтые ячейки. Не копируйте оценки других участников.</t>
  </si>
  <si>
    <t>Название для рейтингов</t>
  </si>
  <si>
    <t>TOPSIS: важность критерия</t>
  </si>
  <si>
    <t>Код проекта</t>
  </si>
  <si>
    <t>Оценка 1–9</t>
  </si>
  <si>
    <t>Название</t>
  </si>
  <si>
    <t>Статус</t>
  </si>
  <si>
    <t>Детейлинг-центр</t>
  </si>
  <si>
    <t>Предложение</t>
  </si>
  <si>
    <t>A2</t>
  </si>
  <si>
    <t>Планировщик покупок</t>
  </si>
  <si>
    <t>Полное название</t>
  </si>
  <si>
    <t>A3</t>
  </si>
  <si>
    <t>Концепция 3</t>
  </si>
  <si>
    <t>Система записи и управления заказами детейлинг-центра</t>
  </si>
  <si>
    <t>Заменить</t>
  </si>
  <si>
    <t>A4</t>
  </si>
  <si>
    <t>Концепция 4</t>
  </si>
  <si>
    <t>Предложил</t>
  </si>
  <si>
    <t>Код критерия</t>
  </si>
  <si>
    <t>Направление</t>
  </si>
  <si>
    <t>Что оцениваем</t>
  </si>
  <si>
    <t>Назначение</t>
  </si>
  <si>
    <t>Запись клиентов на услуги, распределение заказов между мастерами и отслеживание выполнения.</t>
  </si>
  <si>
    <t>Пользователи</t>
  </si>
  <si>
    <t>K1</t>
  </si>
  <si>
    <t>Клиент, администратор, мастер.</t>
  </si>
  <si>
    <t>Практическая полезность</t>
  </si>
  <si>
    <t>Минимальная версия</t>
  </si>
  <si>
    <t>Веб-приложение одного центра: учётные записи, автомобили, каталог услуг, расписание, заказы, назначение мастеров и отчёт.</t>
  </si>
  <si>
    <t>За пределами проекта</t>
  </si>
  <si>
    <t>MAX</t>
  </si>
  <si>
    <t>Онлайн-оплата, складской учёт, закупки, бухгалтерские интеграции, SMS и мобильное приложение.</t>
  </si>
  <si>
    <t>Польза приложения для выбранных пользователей</t>
  </si>
  <si>
    <t>Упрощения и правила</t>
  </si>
  <si>
    <t>Один заказ - один автомобиль и одна услуга фиксированной длительности; работы выполняет один мастер. Пересечения времени запрещены.</t>
  </si>
  <si>
    <t>K2</t>
  </si>
  <si>
    <t>Состояние описания</t>
  </si>
  <si>
    <t>Простота реализации</t>
  </si>
  <si>
    <t>Предложена для сравнения. Подготовлено 12 сценариев; выбор проекта и критериев согласует команда.</t>
  </si>
  <si>
    <t>Чем проще минимальная версия, тем выше оценка</t>
  </si>
  <si>
    <t>№</t>
  </si>
  <si>
    <t>Пользователь</t>
  </si>
  <si>
    <t>K3</t>
  </si>
  <si>
    <t>Удобство оценки и планирования</t>
  </si>
  <si>
    <t>Действие</t>
  </si>
  <si>
    <t>Понятность сценариев, данных и задач для следующих фаз</t>
  </si>
  <si>
    <t>Результат системы</t>
  </si>
  <si>
    <t>K4</t>
  </si>
  <si>
    <t>Интерес команды</t>
  </si>
  <si>
    <t>Регистрируется и входит в личный кабинет.</t>
  </si>
  <si>
    <t>Интерес и знакомство участников с предметной областью</t>
  </si>
  <si>
    <t>Сохраняет учётную запись и предоставляет доступ по роли.</t>
  </si>
  <si>
    <t>Клиент</t>
  </si>
  <si>
    <t>Добавляет марку, модель и госномер автомобиля.</t>
  </si>
  <si>
    <t>Сохраняет автомобиль в профиле клиента.</t>
  </si>
  <si>
    <t>Просматривает каталог услуг.</t>
  </si>
  <si>
    <t>Показывает услуги, цены и продолжительность работ.</t>
  </si>
  <si>
    <t>Выбирает услугу и дату.</t>
  </si>
  <si>
    <t>MAX: больше лучше. MIN: меньше лучше. В МАИ всегда сравнивается предпочтительность.</t>
  </si>
  <si>
    <t>Показывает свободное время с учётом длительности услуги и занятости мастеров.</t>
  </si>
  <si>
    <t>Создаёт запись на выбранное время.</t>
  </si>
  <si>
    <t>Сохраняет заказ и резервирует время; повторная запись на занятый интервал запрещена.</t>
  </si>
  <si>
    <t>Переносит запись на свободное время.</t>
  </si>
  <si>
    <t>Резервирует новый интервал и освобождает прежний.</t>
  </si>
  <si>
    <t>Параметр</t>
  </si>
  <si>
    <t>Значение</t>
  </si>
  <si>
    <t>Отменяет запись до начала работ.</t>
  </si>
  <si>
    <t>Меняет статус на «Отменён» и освобождает время.</t>
  </si>
  <si>
    <t>Администратор</t>
  </si>
  <si>
    <t>Подтверждает запись или отклоняет с указанием причины.</t>
  </si>
  <si>
    <t>Сохраняет решение; при отклонении освобождает время.</t>
  </si>
  <si>
    <t>Максимум шкалы TOPSIS</t>
  </si>
  <si>
    <t>Назначает свободного мастера на заказ.</t>
  </si>
  <si>
    <t>Сохраняет назначение и проверяет отсутствие пересечений его заказов.</t>
  </si>
  <si>
    <t>Мастер</t>
  </si>
  <si>
    <t>Порог согласованности CR</t>
  </si>
  <si>
    <t>Меняет статус своего заказа на «В работе» или «Завершён».</t>
  </si>
  <si>
    <t>Сохраняет статус; клиент и администратор видят его в заказе.</t>
  </si>
  <si>
    <t>Добавляет услуги или изменяет цены.</t>
  </si>
  <si>
    <t>Обновляет каталог; стоимость уже созданных заказов сохраняется.</t>
  </si>
  <si>
    <t>RI для матрицы 4 × 4</t>
  </si>
  <si>
    <t>Выбирает период отчёта.</t>
  </si>
  <si>
    <t>Показывает завершённые заказы и их общую стоимость; это стоимость заказов, а не подтверждение оплаты.</t>
  </si>
  <si>
    <t>TOPSIS: оценка проекта</t>
  </si>
  <si>
    <t>4 эксперта имеют одинаковый вес. TOPSIS: тройка MIN / MEDIAN / MAX.</t>
  </si>
  <si>
    <t>A2: описание концепции</t>
  </si>
  <si>
    <t>Это адаптация трёх экспертных оценок из задания для команды из 4 человек.</t>
  </si>
  <si>
    <t>Методические источники</t>
  </si>
  <si>
    <t>Chen C.-T. 2000</t>
  </si>
  <si>
    <t>https://doi.org/10.1016/S0165-0114(97)00377-1</t>
  </si>
  <si>
    <t>Saaty T. L. 2008</t>
  </si>
  <si>
    <t>https://doi.org/10.1504/IJSSCI.2008.017590</t>
  </si>
  <si>
    <t>Приложение для автоматизированного формирования и оптимизации списка покупок на основе недельного меню.</t>
  </si>
  <si>
    <t>Xu Z. 2000: коллективный МАИ</t>
  </si>
  <si>
    <t>https://doi.org/10.1016/S0377-2217(99)00082-X</t>
  </si>
  <si>
    <t>Приложение, которое автоматически преобразует составленное пользователем меню на неделю в оптимизированный список покупок с учётом необходимых объёмов ингредиентов, стандартных размеров упаковок, имеющихся дома продуктов и возможности использовать один продукт в нескольких блюдах. Система суммирует одинаковые ингредиенты, рассчитывает необходимое количество упаковок и формирует единый список покупок, помогая сократить время планирования и уменьшить количество излишне приобретённых продуктов.</t>
  </si>
  <si>
    <t xml:space="preserve">Спортсмены которым необходимо составлять план питания под свои КБЖУ, студенты и рабочие которым необходимо меньше задуматься о том что купить, семьи которым удобнее контролировать большой объем потребления пищи </t>
  </si>
  <si>
    <t>Возможность выбирать блюда из каталога или создавать собственные рецепты, указывать количество порций и составлять меню; возможность рассчета остатков продуктов; приложение должно суммировать одинаковые ингредиенты из всех блюд; округлять необходимое количество до целых упаковок; формировать итоговый список покупок; редактирование списка; отметка купленных продуктов.</t>
  </si>
  <si>
    <t>Интеграция с реальными онлайн-магазинами и автоматическое оформление заказов; автоматическое распознавание продуктов по фотографиям; генерация рецептов с помощью искусственного интеллекта; список любимых блюд</t>
  </si>
  <si>
    <t>Меню планируется на одну неделю; пользователь самостоятельно выбирает блюда и задаёт количество порций; каждый рецепт содержит заранее определённый список ингредиентов с количеством и единицами измерения; одинаковые продукты из разных блюд объединяются в одну позицию списка покупок; количество приобретаемых упаковок должно быть целым и достаточным для приготовления; система не учитывает фактические остатки продуктов после окончания недели и изменение сроков их хранения</t>
  </si>
  <si>
    <t>Предложена для сравнения.</t>
  </si>
  <si>
    <t>Выбирает блюда из каталога рецептов или создаёт собственные рецепты, указывая ингредиенты и их количество</t>
  </si>
  <si>
    <t>Система сохраняет рецепты и делает их доступными для формирования меню</t>
  </si>
  <si>
    <t>Формирует меню на неделю, распределяет блюда по дням и задаёт количество порций</t>
  </si>
  <si>
    <t>Система сохраняет недельное меню и рассчитывает необходимые количества ингредиентов для каждого блюда</t>
  </si>
  <si>
    <t>Запускает расчёт списка покупок на основе сформированного меню</t>
  </si>
  <si>
    <t>Система суммирует одинаковые ингредиенты из всех блюд и формирует перечень общей потребности в продуктах</t>
  </si>
  <si>
    <t>Указывает продукты, которые уже имеются дома, и их количество</t>
  </si>
  <si>
    <t>Система вычитает имеющиеся запасы из общей потребности и определяет недостающее количество каждого продукта</t>
  </si>
  <si>
    <t>Запрашивает оптимизированный список покупок</t>
  </si>
  <si>
    <t>Система округляет необходимые количества до целых упаковок, выбирает подходящие варианты продуктов и выводит итоговый список покупок(Например, если требуется 14 яиц, а доступны упаковки по 10 штук, система предлагает купить две упаковки)</t>
  </si>
  <si>
    <t>Изменяет количество порций для одного из блюд в меню</t>
  </si>
  <si>
    <t>Система пересчитывает количество ингредиентов для изменённого блюда и обновляет общую потребность в продуктах</t>
  </si>
  <si>
    <t>Изменяет состав блюда или количество одного из ингредиентов в собственном рецепте</t>
  </si>
  <si>
    <t>Система сохраняет изменения и учитывает обновлённый состав блюда при расчёте списка покупок</t>
  </si>
  <si>
    <t>Удаляет блюдо из недельного меню или заменяет его другим</t>
  </si>
  <si>
    <t>Система пересчитывает общую потребность в продуктах с учётом изменений меню</t>
  </si>
  <si>
    <t>Добавляет продукт, который необходимо купить, но который не входит в состав запланированных блюд</t>
  </si>
  <si>
    <t>Система добавляет продукт в общий список покупок с указанным количеством</t>
  </si>
  <si>
    <t>Изменяет количество продукта, которое уже имеется дома</t>
  </si>
  <si>
    <t>Система пересчитывает недостающее количество продукта с учётом обновлённого остатка</t>
  </si>
  <si>
    <t>Просматривает итоговый список покупок, сгруппированный по категориям продуктов</t>
  </si>
  <si>
    <t>Система отображает продукты по категориям, например мясо, молочные продукты, крупы, овощи и фрукты</t>
  </si>
  <si>
    <t>Отмечает продукт как купленный во время похода в магазин</t>
  </si>
  <si>
    <t>Система отмечает выбранную позицию как приобретённую и отображает актуальный статус списка покупок</t>
  </si>
  <si>
    <t>Указывает размер упаковки для продукта или выбирает один из доступных вариантов фасовки</t>
  </si>
  <si>
    <t>Система пересчитывает необходимое количество упаковок с учётом выбранного размера</t>
  </si>
  <si>
    <t>Сохраняет составленное меню для повторного использования</t>
  </si>
  <si>
    <t>Система сохраняет меню и позволяет использовать его как основу для планирования следующей недели</t>
  </si>
  <si>
    <t>A3: описание концепции</t>
  </si>
  <si>
    <t>Оценок TOPSIS заполнено / 20</t>
  </si>
  <si>
    <t>Не заполнено</t>
  </si>
  <si>
    <t>A4: описание концепции</t>
  </si>
  <si>
    <t>МАИ: 1 равноценно; 3 умеренно; 5 сильно; 7 очень сильно; 9 предельно.</t>
  </si>
  <si>
    <t>Если строка уступает столбцу, вводите =1/3, =1/5 и т. п.</t>
  </si>
  <si>
    <t>МАИ: сравнение важности критериев</t>
  </si>
  <si>
    <t>Строка предпочтительнее столбца</t>
  </si>
  <si>
    <t>Индивидуальные оценки эксперта 3</t>
  </si>
  <si>
    <t>CR: допустимо не более 0,10</t>
  </si>
  <si>
    <t>МАИ: проекты по критерию K1</t>
  </si>
  <si>
    <t>Индивидуальные оценки эксперта 4</t>
  </si>
  <si>
    <t>МАИ: проекты по критерию K2</t>
  </si>
  <si>
    <t>МАИ: проекты по критерию K3</t>
  </si>
  <si>
    <t>МАИ: проекты по критерию K4</t>
  </si>
  <si>
    <t>Нечёткий коллективный TOPSIS</t>
  </si>
  <si>
    <t>Заполнено оценок / 80</t>
  </si>
  <si>
    <t>Критерий</t>
  </si>
  <si>
    <t>L</t>
  </si>
  <si>
    <t>M</t>
  </si>
  <si>
    <t>U</t>
  </si>
  <si>
    <t>Вес L</t>
  </si>
  <si>
    <t>Вес M</t>
  </si>
  <si>
    <t>Вес U</t>
  </si>
  <si>
    <t>Выбор концепции проекта</t>
  </si>
  <si>
    <t>Концепция</t>
  </si>
  <si>
    <t>TOPSIS CC</t>
  </si>
  <si>
    <t>Место TOPSIS</t>
  </si>
  <si>
    <t>МАИ приоритет</t>
  </si>
  <si>
    <t>Место МАИ</t>
  </si>
  <si>
    <t>Чёткий коллективный МАИ</t>
  </si>
  <si>
    <t>Попарных сравнений заполнено / 120</t>
  </si>
  <si>
    <t>Инструкция: текущий этап</t>
  </si>
  <si>
    <t>Что сделать сейчас</t>
  </si>
  <si>
    <t>Каждый участник добавляет одну свою концепцию и 4 оценки TOPSIS для неё. Образец - концепция детейлинг-центра A1 и строка B14:E14 на листе «Эксперт 1».</t>
  </si>
  <si>
    <t>На текущий этап</t>
  </si>
  <si>
    <t>Описание концепции + 12 сценариев + 4 оценки собственного проекта. По заданию допустимо 10–15 сценариев; у детейлинга их 12. Это подготовительный этап, а не завершённый расчёт двух методов.</t>
  </si>
  <si>
    <t>Шаг / участник</t>
  </si>
  <si>
    <t>Точное место и действие</t>
  </si>
  <si>
    <t>1. Найти свой блок</t>
  </si>
  <si>
    <t>Ниже указано, куда каждый добавляет свою концепцию и оценки. ФИО уже внесены; оценки других участников не изменяйте.</t>
  </si>
  <si>
    <t>Дмитрий / A1</t>
  </si>
  <si>
    <t>Кветкин Дмитрий Евгеньевич: концепция «Концепции» A5:D31; название «Настройки» B14; оценки «Эксперт 1» B14:E14. Этот объём уже заполнен.</t>
  </si>
  <si>
    <t>Николай / A2</t>
  </si>
  <si>
    <t>Колбасин Николай Владимирович: описание на «Концепции» B36:B43; 12 сценариев B45:D56; короткое название на «Настройки» B15; 4 оценки на «Эксперт 2» B15:E15.</t>
  </si>
  <si>
    <t>Михаил / A3</t>
  </si>
  <si>
    <t>Добросоцкий Михаил Сергеевич: описание на «Концепции» B64:B71; 12 сценариев B73:D84; короткое название на «Настройки» B16; 4 оценки на «Эксперт 3» B16:E16.</t>
  </si>
  <si>
    <t>Максим / A4</t>
  </si>
  <si>
    <t>Катаев Максим Игоревич: описание на «Концепции» B92:B99; 12 сценариев B101:D112; короткое название на «Настройки» B17; 4 оценки на «Эксперт 4» B17:E17.</t>
  </si>
  <si>
    <t>2. Внести название</t>
  </si>
  <si>
    <t>В своей ячейке на «Настройках» замените «Концепция 2/3/4» коротким названием приложения. Название для рейтингов на других листах обновится автоматически.</t>
  </si>
  <si>
    <t>3. Описать концепцию</t>
  </si>
  <si>
    <t>В своём блоке на «Концепциях» заполните жёлтые поля: полное название, ФИО автора, назначение, пользователи, минимальная версия, исключения, упрощения/правила и состояние описания. Формулировка состояния: «Предложена для сравнения».</t>
  </si>
  <si>
    <t>Пример назначения</t>
  </si>
  <si>
    <t>Детейлинг: «Запись клиентов на услуги, распределение заказов между мастерами и отслеживание выполнения».</t>
  </si>
  <si>
    <t>Показатель</t>
  </si>
  <si>
    <t>Пример границ</t>
  </si>
  <si>
    <t>Детейлинг: входит веб-приложение одного центра с каталогом, расписанием, заказами и отчётом. Не входят онлайн-оплата, склад, бухгалтерские интеграции, SMS и мобильное приложение.</t>
  </si>
  <si>
    <t>4. Записать сценарии</t>
  </si>
  <si>
    <t>Заполните 12 строк своего блока: столбец B - пользователь, C - действие, D - результат системы. Если нужно, доступно до 15 строк. Неиспользованные строки оставляйте пустыми.</t>
  </si>
  <si>
    <t>Пример сценария</t>
  </si>
  <si>
    <t>TOPSIS оценок / 80</t>
  </si>
  <si>
    <t>Клиент → отменяет запись до начала работ → система меняет статус на «Отменён» и освобождает время. Каждая строка описывает одно действие и конкретный ответ системы.</t>
  </si>
  <si>
    <t>5. Оценить свой проект</t>
  </si>
  <si>
    <t>На своём листе «Эксперт» заполните только указанную выше строку своего проекта: 4 целых числа от 1 до 9 в столбцах B:E. Значения выбирайте самостоятельно; числа детейлинга приведены как пример.</t>
  </si>
  <si>
    <t>Столбец B</t>
  </si>
  <si>
    <t>Практическая полезность: насколько приложение полезно указанным пользователям. Выше - полезнее. В примере детейлинга: 8.</t>
  </si>
  <si>
    <t>Столбец C</t>
  </si>
  <si>
    <t>Простота реализации: насколько просто сделать описанную минимальную версию. Выше - проще, а не сложнее. В примере детейлинга: 7.</t>
  </si>
  <si>
    <t>Столбец D</t>
  </si>
  <si>
    <t>Удобство оценки и планирования: насколько понятны сценарии, данные и будущие задачи проекта. Выше - легче оценивать и планировать. В примере детейлинга: 9.</t>
  </si>
  <si>
    <t>Столбец E</t>
  </si>
  <si>
    <t>Интерес команды: ваша личная оценка интереса к этому проекту. Выше - интереснее. В примере детейлинга: 9.</t>
  </si>
  <si>
    <t>Когда текущий этап готов</t>
  </si>
  <si>
    <t>У каждого участника есть короткое название, описание, 12 сценариев и 4 оценки своей концепции на своём листе. Пока заполнены только эти строки, общий рейтинг ещё не рассчитан.</t>
  </si>
  <si>
    <t>Пока не заполняем</t>
  </si>
  <si>
    <t>МАИ сравнений / 120</t>
  </si>
  <si>
    <t>B8:B11 (важность критериев), строки чужих проектов и все матрицы МАИ. Их заполнят все четверо на следующем общем этапе после подготовки и согласования концепций и критериев.</t>
  </si>
  <si>
    <t>Что будет дальше</t>
  </si>
  <si>
    <t>После одинакового подготовительного объёма у всех четырёх участников команда переходит к полной независимой оценке всех проектов и МАИ. Подробные задания следующего этапа будут выданы всем одновременно.</t>
  </si>
  <si>
    <t>Хранение информации</t>
  </si>
  <si>
    <t>Названия и критерии - «Настройки»; описания - «Концепции»; оценки - личный лист «Эксперт». Журнал работ и итоговое решение также предусмотрены в этой таблице; их заполнение не входит в текущий объём по образцу Дмитрия.</t>
  </si>
  <si>
    <t>Матриц МАИ с CR &gt; 0,10</t>
  </si>
  <si>
    <t>Справочно: методика</t>
  </si>
  <si>
    <t>Настройки расчётов шаблона; это не дополнительные задания текущего этапа.</t>
  </si>
  <si>
    <t>Проект</t>
  </si>
  <si>
    <t>TOPSIS: 4 эксперта</t>
  </si>
  <si>
    <t>Для каждой позиции L = минимум, M = медиана, U = максимум 4 оценок. Медиана - среднее двух центральных значений. Это выбранная адаптация к 4 экспертам.</t>
  </si>
  <si>
    <t>Метод TOPSIS</t>
  </si>
  <si>
    <t>Треугольная нечёткая модель: линейная нормализация, нечёткие веса, расстояние по вершинам, идеал (1,1,1), антиидеал (0,0,0). Шкала и MIN/MEDIAN/MAX - настройки шаблона.</t>
  </si>
  <si>
    <t>Норм. L</t>
  </si>
  <si>
    <t>Метод МАИ</t>
  </si>
  <si>
    <t>Норм. M</t>
  </si>
  <si>
    <t>Норм. U</t>
  </si>
  <si>
    <t>Суждения 4 участников агрегируются геометрическим средним с равными весами. Приоритеты - главный собственный вектор. RI = 0,90 для матриц 4×4; вспомогательные итерации находятся в скрытых столбцах J:AX листа «МАИ».</t>
  </si>
  <si>
    <t>Взв. L</t>
  </si>
  <si>
    <t>Взв. M</t>
  </si>
  <si>
    <t>Взв. U</t>
  </si>
  <si>
    <t>d+</t>
  </si>
  <si>
    <t>d−</t>
  </si>
  <si>
    <t>Лидер TOPSIS</t>
  </si>
  <si>
    <t>Лидер МАИ</t>
  </si>
  <si>
    <t>Сравнение лидеров</t>
  </si>
  <si>
    <t>Результат МАИ требует пересмотра, если CR хотя бы одной матрицы превышает 0,10.</t>
  </si>
  <si>
    <t>Порядок: Концепции → Настройки → свой лист «Эксперт» → проверка → Итог. Учёт времени: «Журнал работ».</t>
  </si>
  <si>
    <t>Матриц с CR &gt; 0,10</t>
  </si>
  <si>
    <t>Решение команды</t>
  </si>
  <si>
    <t>Выбранный проект</t>
  </si>
  <si>
    <t>Обоснование выбора</t>
  </si>
  <si>
    <t>Сопоставление рейтингов</t>
  </si>
  <si>
    <t>Дата решения</t>
  </si>
  <si>
    <t>Подтверждение участников</t>
  </si>
  <si>
    <t>Журнал работ команды</t>
  </si>
  <si>
    <t>Одна строка - работа одного участника по задаче. Записывайте фактические даты и часы, включая обсуждения и изучение методов. При общей встрече каждый записывает своё время.</t>
  </si>
  <si>
    <t>Всего человеко-часов</t>
  </si>
  <si>
    <t>ID задачи</t>
  </si>
  <si>
    <t>Задача</t>
  </si>
  <si>
    <t>Исполнитель</t>
  </si>
  <si>
    <t>Начало</t>
  </si>
  <si>
    <t>Окончание</t>
  </si>
  <si>
    <t>Часы</t>
  </si>
  <si>
    <t>Результат / ячейки</t>
  </si>
  <si>
    <t>Ответственный за результат</t>
  </si>
  <si>
    <t>Приоритет</t>
  </si>
  <si>
    <t>Место</t>
  </si>
  <si>
    <t>Групповые сравнения: геометрическое среднее четырёх индивидуальных суждений.</t>
  </si>
  <si>
    <t>Приоритеты: главный собственный вектор, 40 шагов степенного метода. Проверки ниже.</t>
  </si>
  <si>
    <t>Коллективная матрица — критерии</t>
  </si>
  <si>
    <t>Элемент</t>
  </si>
  <si>
    <t>Aw / w</t>
  </si>
  <si>
    <t>Проверка</t>
  </si>
  <si>
    <t>CR</t>
  </si>
  <si>
    <t>CI</t>
  </si>
  <si>
    <t>λ max</t>
  </si>
  <si>
    <t>Сумма весов</t>
  </si>
  <si>
    <t>Остаток Aw − λw</t>
  </si>
  <si>
    <t>Коллективная матрица — проекты по K1</t>
  </si>
  <si>
    <t>D+</t>
  </si>
  <si>
    <t>D−</t>
  </si>
  <si>
    <t>CC</t>
  </si>
  <si>
    <t>L = MIN; M = MEDIAN; U = MAX четырёх индивидуальных оценок.</t>
  </si>
  <si>
    <t>Нормализация: MAX — (L,M,U)/max U; MIN — min L/(U,M,L).</t>
  </si>
  <si>
    <t>Нечёткие веса: (L,M,U)/9. Идеал (1,1,1), антиидеал (0,0,0).</t>
  </si>
  <si>
    <t>Расстояние между тройками: корень из среднего квадрата разностей. CC = D−/(D+ + D−).</t>
  </si>
  <si>
    <t>Коллективная матрица — проекты по K2</t>
  </si>
  <si>
    <t>Коллективная матрица — проекты по K3</t>
  </si>
  <si>
    <t>Коллективная матрица — проекты по K4</t>
  </si>
  <si>
    <t>Эксперт 1 — критерии</t>
  </si>
  <si>
    <t>Эксперт 1 — проекты по K1</t>
  </si>
  <si>
    <t>Эксперт 1 — проекты по K2</t>
  </si>
  <si>
    <t>Эксперт 1 — проекты по K3</t>
  </si>
  <si>
    <t>Эксперт 1 — проекты по K4</t>
  </si>
  <si>
    <t>Эксперт 2 — критерии</t>
  </si>
  <si>
    <t>Эксперт 2 — проекты по K1</t>
  </si>
  <si>
    <t>Эксперт 2 — проекты по K2</t>
  </si>
  <si>
    <t>Эксперт 2 — проекты по K3</t>
  </si>
  <si>
    <t>Эксперт 2 — проекты по K4</t>
  </si>
  <si>
    <t>Эксперт 3 — критерии</t>
  </si>
  <si>
    <t>Эксперт 3 — проекты по K1</t>
  </si>
  <si>
    <t>Эксперт 3 — проекты по K2</t>
  </si>
  <si>
    <t>Эксперт 3 — проекты по K3</t>
  </si>
  <si>
    <t>Эксперт 3 — проекты по K4</t>
  </si>
  <si>
    <t>Эксперт 4 — критерии</t>
  </si>
  <si>
    <t>Эксперт 4 — проекты по K1</t>
  </si>
  <si>
    <t>Эксперт 4 — проекты по K2</t>
  </si>
  <si>
    <t>Эксперт 4 — проекты по K3</t>
  </si>
  <si>
    <t>Эксперт 4 — проекты по K4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</si>
</sst>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dd.mm.yyyy"/>
  </numFmts>
  <fonts count="7">
    <font>
      <sz val="11.0"/>
      <color rgb="FF000000"/>
      <name val="Carlito"/>
      <scheme val="minor"/>
    </font>
    <font>
      <sz val="10.0"/>
      <color rgb="FF000000"/>
      <name val="Arial"/>
    </font>
    <font>
      <b/>
      <sz val="14.0"/>
      <color rgb="FF000000"/>
      <name val="Arial"/>
    </font>
    <font>
      <b/>
      <sz val="10.0"/>
      <color rgb="FF000000"/>
      <name val="Arial"/>
    </font>
    <font>
      <b/>
      <sz val="14.0"/>
      <color theme="1"/>
      <name val="Arial"/>
    </font>
    <font>
      <sz val="10.0"/>
      <color theme="1"/>
      <name val="Arial"/>
    </font>
    <font>
      <b/>
      <sz val="10.0"/>
      <color theme="1"/>
      <name val="Arial"/>
    </font>
  </fonts>
  <fills count="6">
    <fill>
      <patternFill patternType="none"/>
    </fill>
    <fill>
      <patternFill patternType="lightGray"/>
    </fill>
    <fill>
      <patternFill patternType="solid">
        <fgColor rgb="FFEEEEEE"/>
        <bgColor rgb="FFEEEEEE"/>
      </patternFill>
    </fill>
    <fill>
      <patternFill patternType="solid">
        <fgColor rgb="FFFFF7D6"/>
        <bgColor rgb="FFFFF7D6"/>
      </patternFill>
    </fill>
    <fill>
      <patternFill patternType="solid">
        <fgColor rgb="FFEDEDED"/>
        <bgColor rgb="FFEDEDED"/>
      </patternFill>
    </fill>
    <fill>
      <patternFill patternType="solid">
        <fgColor rgb="FFFFF6D6"/>
        <bgColor rgb="FFFFF6D6"/>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1" fillId="2" fontId="3" numFmtId="0" xfId="0" applyAlignment="1" applyBorder="1" applyFill="1" applyFont="1">
      <alignment shrinkToFit="0" vertical="center" wrapText="1"/>
    </xf>
    <xf borderId="2" fillId="3" fontId="1" numFmtId="0" xfId="0" applyAlignment="1" applyBorder="1" applyFill="1" applyFont="1">
      <alignment readingOrder="0" vertical="center"/>
    </xf>
    <xf borderId="0" fillId="0" fontId="4" numFmtId="0" xfId="0" applyAlignment="1" applyFont="1">
      <alignment shrinkToFit="0" vertical="top" wrapText="1"/>
    </xf>
    <xf borderId="0" fillId="0" fontId="5" numFmtId="0" xfId="0" applyAlignment="1" applyFont="1">
      <alignment shrinkToFit="0" vertical="top" wrapText="1"/>
    </xf>
    <xf borderId="0" fillId="4" fontId="6" numFmtId="0" xfId="0" applyAlignment="1" applyFill="1" applyFont="1">
      <alignment shrinkToFit="0" vertical="top" wrapText="1"/>
    </xf>
    <xf borderId="2" fillId="3" fontId="1" numFmtId="0" xfId="0" applyAlignment="1" applyBorder="1" applyFill="1" applyFont="1">
      <alignment vertical="center"/>
    </xf>
    <xf borderId="0" fillId="0" fontId="1" numFmtId="0" xfId="0" applyAlignment="1" applyFont="1">
      <alignment readingOrder="0" vertical="center"/>
    </xf>
    <xf borderId="0" fillId="5" fontId="5" numFmtId="0" xfId="0" applyAlignment="1" applyFill="1" applyFont="1">
      <alignment shrinkToFit="0" vertical="top" wrapText="1"/>
    </xf>
    <xf borderId="2" fillId="3" fontId="1" numFmtId="0" xfId="0" applyAlignment="1" applyBorder="1" applyFill="1" applyFont="1">
      <alignment shrinkToFit="0" vertical="center" wrapText="1"/>
    </xf>
    <xf borderId="2" fillId="3" fontId="1" numFmtId="0" xfId="0" applyAlignment="1" applyBorder="1" applyFill="1" applyFont="1">
      <alignment readingOrder="0" vertical="center"/>
    </xf>
    <xf borderId="0" fillId="0" fontId="1" numFmtId="0" xfId="0" applyAlignment="1" applyFont="1">
      <alignment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5" fontId="5" numFmtId="0" xfId="0" applyAlignment="1" applyFill="1" applyFont="1">
      <alignment readingOrder="0" shrinkToFit="0" vertical="center" wrapText="1"/>
    </xf>
    <xf borderId="0" fillId="5" fontId="5" numFmtId="0" xfId="0" applyAlignment="1" applyFill="1" applyFont="1">
      <alignment readingOrder="0" shrinkToFit="0" vertical="top" wrapText="1"/>
    </xf>
    <xf borderId="2" fillId="3" fontId="1" numFmtId="0" xfId="0" applyAlignment="1" applyBorder="1" applyFill="1" applyFont="1">
      <alignment readingOrder="0" shrinkToFit="0" vertical="center" wrapText="1"/>
    </xf>
    <xf borderId="0" fillId="0" fontId="1" numFmtId="164" xfId="0" applyAlignment="1" applyFont="1" applyNumberFormat="1">
      <alignment shrinkToFit="0" vertical="center" wrapText="1"/>
    </xf>
    <xf borderId="0" fillId="0" fontId="1" numFmtId="164" xfId="0" applyAlignment="1" applyFont="1" applyNumberFormat="1">
      <alignment vertical="center"/>
    </xf>
    <xf borderId="1" fillId="2" fontId="3" numFmtId="164" xfId="0" applyAlignment="1" applyBorder="1" applyFill="1" applyFont="1" applyNumberFormat="1">
      <alignment shrinkToFit="0" vertical="center" wrapText="1"/>
    </xf>
    <xf borderId="0" fillId="0" fontId="4" numFmtId="0" xfId="0" applyAlignment="1" applyFont="1">
      <alignment readingOrder="0" shrinkToFit="0" vertical="top" wrapText="1"/>
    </xf>
    <xf borderId="0" fillId="0" fontId="6"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4" fontId="6" numFmtId="0" xfId="0" applyAlignment="1" applyFill="1" applyFont="1">
      <alignment readingOrder="0" shrinkToFit="0" vertical="top" wrapText="1"/>
    </xf>
    <xf borderId="0" fillId="4" fontId="5" numFmtId="0" xfId="0" applyAlignment="1" applyFill="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5" numFmtId="0" xfId="0" applyAlignment="1" applyFont="1">
      <alignment readingOrder="0" shrinkToFit="0" vertical="top" wrapText="1"/>
    </xf>
    <xf borderId="0" fillId="4" fontId="6" numFmtId="0" xfId="0" applyAlignment="1" applyFill="1" applyFont="1">
      <alignment readingOrder="0" shrinkToFit="0" vertical="top" wrapText="1"/>
    </xf>
    <xf borderId="0" fillId="4" fontId="5" numFmtId="0" xfId="0" applyAlignment="1" applyFill="1" applyFont="1">
      <alignment readingOrder="0" shrinkToFit="0" vertical="top" wrapText="1"/>
    </xf>
    <xf borderId="0" fillId="0" fontId="1" numFmtId="0" xfId="0" applyAlignment="1" applyFont="1">
      <alignment readingOrder="0" vertical="center"/>
    </xf>
    <xf borderId="0" fillId="3" fontId="1" numFmtId="0" xfId="0" applyAlignment="1" applyFill="1" applyFont="1">
      <alignment shrinkToFit="0" vertical="top" wrapText="1"/>
    </xf>
    <xf borderId="0" fillId="5" fontId="5" numFmtId="165" xfId="0" applyAlignment="1" applyFill="1" applyFont="1" applyNumberFormat="1">
      <alignment shrinkToFit="0" vertical="top" wrapText="1"/>
    </xf>
    <xf borderId="0" fillId="0" fontId="5" numFmtId="165" xfId="0" applyAlignment="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2" width="38.88"/>
    <col customWidth="1" min="3" max="3" width="12.0"/>
    <col customWidth="1" min="4" max="4" width="40.0"/>
    <col customWidth="1" min="5" max="14" width="12.0"/>
    <col customWidth="1" min="15" max="26" width="8.63"/>
  </cols>
  <sheetData>
    <row r="1" ht="22.5" customHeight="1">
      <c r="A1" s="1"/>
      <c r="B1" s="1"/>
      <c r="C1" s="1"/>
      <c r="D1" s="1"/>
      <c r="E1" s="1"/>
      <c r="F1" s="1"/>
      <c r="G1" s="1"/>
      <c r="H1" s="1"/>
      <c r="I1" s="1"/>
      <c r="J1" s="1"/>
      <c r="K1" s="1"/>
      <c r="L1" s="1"/>
      <c r="M1" s="1"/>
      <c r="N1" s="1"/>
    </row>
    <row r="2" ht="31.5" customHeight="1">
      <c r="A2" s="2" t="s">
        <v>0</v>
      </c>
      <c r="B2" s="1"/>
      <c r="C2" s="1"/>
      <c r="D2" s="1"/>
      <c r="E2" s="1"/>
      <c r="F2" s="1"/>
      <c r="G2" s="1"/>
      <c r="H2" s="1"/>
      <c r="I2" s="1"/>
      <c r="J2" s="1"/>
      <c r="K2" s="1"/>
      <c r="L2" s="1"/>
      <c r="M2" s="1"/>
      <c r="N2" s="1"/>
    </row>
    <row r="3" ht="22.5" customHeight="1">
      <c r="A3" s="1"/>
      <c r="B3" s="1"/>
      <c r="C3" s="1"/>
      <c r="D3" s="1"/>
      <c r="E3" s="1"/>
      <c r="F3" s="1"/>
      <c r="G3" s="1"/>
      <c r="H3" s="1"/>
      <c r="I3" s="1"/>
      <c r="J3" s="1"/>
      <c r="K3" s="1"/>
      <c r="L3" s="1"/>
      <c r="M3" s="1"/>
      <c r="N3" s="1"/>
    </row>
    <row r="4" ht="22.5" customHeight="1">
      <c r="A4" s="1" t="s">
        <v>1</v>
      </c>
      <c r="B4" s="1"/>
      <c r="C4" s="1"/>
      <c r="D4" s="1"/>
      <c r="E4" s="1"/>
      <c r="F4" s="1"/>
      <c r="G4" s="1"/>
      <c r="H4" s="1"/>
      <c r="I4" s="1"/>
      <c r="J4" s="1"/>
      <c r="K4" s="1"/>
      <c r="L4" s="1"/>
      <c r="M4" s="1"/>
      <c r="N4" s="1"/>
    </row>
    <row r="5" ht="22.5" customHeight="1">
      <c r="A5" s="1"/>
      <c r="B5" s="1"/>
      <c r="C5" s="1"/>
      <c r="D5" s="1"/>
      <c r="E5" s="1"/>
      <c r="F5" s="1"/>
      <c r="G5" s="1"/>
      <c r="H5" s="1"/>
      <c r="I5" s="1"/>
      <c r="J5" s="1"/>
      <c r="K5" s="1"/>
      <c r="L5" s="1"/>
      <c r="M5" s="1"/>
      <c r="N5" s="1"/>
    </row>
    <row r="6" ht="36.0" customHeight="1">
      <c r="A6" s="3" t="s">
        <v>3</v>
      </c>
      <c r="B6" s="3" t="s">
        <v>5</v>
      </c>
      <c r="C6" s="1"/>
      <c r="D6" s="1"/>
      <c r="E6" s="1"/>
      <c r="F6" s="1"/>
      <c r="G6" s="1"/>
      <c r="H6" s="1"/>
      <c r="I6" s="1"/>
      <c r="J6" s="1"/>
      <c r="K6" s="1"/>
      <c r="L6" s="1"/>
      <c r="M6" s="1"/>
      <c r="N6" s="1"/>
    </row>
    <row r="7" ht="22.5" customHeight="1">
      <c r="A7" s="1" t="s">
        <v>7</v>
      </c>
      <c r="B7" s="4" t="s">
        <v>8</v>
      </c>
      <c r="C7" s="1"/>
      <c r="D7" s="1"/>
      <c r="E7" s="1"/>
      <c r="F7" s="1"/>
      <c r="G7" s="1"/>
      <c r="H7" s="1"/>
      <c r="I7" s="1"/>
      <c r="J7" s="1"/>
      <c r="K7" s="1"/>
      <c r="L7" s="1"/>
      <c r="M7" s="1"/>
      <c r="N7" s="1"/>
    </row>
    <row r="8" ht="22.5" customHeight="1">
      <c r="A8" s="1" t="s">
        <v>9</v>
      </c>
      <c r="B8" s="4" t="s">
        <v>10</v>
      </c>
      <c r="C8" s="1"/>
      <c r="D8" s="1"/>
      <c r="E8" s="1"/>
      <c r="F8" s="1"/>
      <c r="G8" s="1"/>
      <c r="H8" s="1"/>
      <c r="I8" s="1"/>
      <c r="J8" s="1"/>
      <c r="K8" s="1"/>
      <c r="L8" s="1"/>
      <c r="M8" s="1"/>
      <c r="N8" s="1"/>
    </row>
    <row r="9" ht="22.5" customHeight="1">
      <c r="A9" s="1" t="s">
        <v>11</v>
      </c>
      <c r="B9" s="4" t="s">
        <v>12</v>
      </c>
      <c r="C9" s="1"/>
      <c r="D9" s="1"/>
      <c r="E9" s="1"/>
      <c r="F9" s="1"/>
      <c r="G9" s="1"/>
      <c r="H9" s="1"/>
      <c r="I9" s="1"/>
      <c r="J9" s="1"/>
      <c r="K9" s="1"/>
      <c r="L9" s="1"/>
      <c r="M9" s="1"/>
      <c r="N9" s="1"/>
    </row>
    <row r="10" ht="22.5" customHeight="1">
      <c r="A10" s="1" t="s">
        <v>13</v>
      </c>
      <c r="B10" s="4" t="s">
        <v>14</v>
      </c>
      <c r="C10" s="1"/>
      <c r="D10" s="1"/>
      <c r="E10" s="1"/>
      <c r="F10" s="1"/>
      <c r="G10" s="1"/>
      <c r="H10" s="1"/>
      <c r="I10" s="1"/>
      <c r="J10" s="1"/>
      <c r="K10" s="1"/>
      <c r="L10" s="1"/>
      <c r="M10" s="1"/>
      <c r="N10" s="1"/>
    </row>
    <row r="11" ht="22.5" customHeight="1">
      <c r="A11" s="1"/>
      <c r="B11" s="1"/>
      <c r="C11" s="1"/>
      <c r="D11" s="1"/>
      <c r="E11" s="1"/>
      <c r="F11" s="1"/>
      <c r="G11" s="1"/>
      <c r="H11" s="1"/>
      <c r="I11" s="1"/>
      <c r="J11" s="1"/>
      <c r="K11" s="1"/>
      <c r="L11" s="1"/>
      <c r="M11" s="1"/>
      <c r="N11" s="1"/>
    </row>
    <row r="12" ht="22.5" customHeight="1">
      <c r="A12" s="1"/>
      <c r="B12" s="1"/>
      <c r="C12" s="1"/>
      <c r="D12" s="1"/>
      <c r="E12" s="1"/>
      <c r="F12" s="1"/>
      <c r="G12" s="1"/>
      <c r="H12" s="1"/>
      <c r="I12" s="1"/>
      <c r="J12" s="1"/>
      <c r="K12" s="1"/>
      <c r="L12" s="1"/>
      <c r="M12" s="1"/>
      <c r="N12" s="1"/>
    </row>
    <row r="13" ht="36.0" customHeight="1">
      <c r="A13" s="3" t="s">
        <v>24</v>
      </c>
      <c r="B13" s="3" t="s">
        <v>26</v>
      </c>
      <c r="C13" s="3" t="s">
        <v>27</v>
      </c>
      <c r="D13" s="1"/>
      <c r="E13" s="1"/>
      <c r="F13" s="1"/>
      <c r="G13" s="1"/>
      <c r="H13" s="1"/>
      <c r="I13" s="1"/>
      <c r="J13" s="1"/>
      <c r="K13" s="1"/>
      <c r="L13" s="1"/>
      <c r="M13" s="1"/>
      <c r="N13" s="1"/>
    </row>
    <row r="14" ht="22.5" customHeight="1">
      <c r="A14" s="1" t="s">
        <v>20</v>
      </c>
      <c r="B14" s="8" t="s">
        <v>28</v>
      </c>
      <c r="C14" s="1" t="s">
        <v>29</v>
      </c>
      <c r="D14" s="1"/>
      <c r="E14" s="1"/>
      <c r="F14" s="1"/>
      <c r="G14" s="1"/>
      <c r="H14" s="1"/>
      <c r="I14" s="1"/>
      <c r="J14" s="1"/>
      <c r="K14" s="1"/>
      <c r="L14" s="1"/>
      <c r="M14" s="1"/>
      <c r="N14" s="1"/>
    </row>
    <row r="15" ht="22.5" customHeight="1">
      <c r="A15" s="1" t="s">
        <v>30</v>
      </c>
      <c r="B15" s="4" t="s">
        <v>31</v>
      </c>
      <c r="C15" s="9" t="s">
        <v>29</v>
      </c>
      <c r="D15" s="1"/>
      <c r="E15" s="1"/>
      <c r="F15" s="1"/>
      <c r="G15" s="1"/>
      <c r="H15" s="1"/>
      <c r="I15" s="1"/>
      <c r="J15" s="1"/>
      <c r="K15" s="1"/>
      <c r="L15" s="1"/>
      <c r="M15" s="1"/>
      <c r="N15" s="1"/>
    </row>
    <row r="16" ht="22.5" customHeight="1">
      <c r="A16" s="1" t="s">
        <v>33</v>
      </c>
      <c r="B16" s="8" t="s">
        <v>34</v>
      </c>
      <c r="C16" s="1" t="s">
        <v>36</v>
      </c>
      <c r="D16" s="1"/>
      <c r="E16" s="1"/>
      <c r="F16" s="1"/>
      <c r="G16" s="1"/>
      <c r="H16" s="1"/>
      <c r="I16" s="1"/>
      <c r="J16" s="1"/>
      <c r="K16" s="1"/>
      <c r="L16" s="1"/>
      <c r="M16" s="1"/>
      <c r="N16" s="1"/>
    </row>
    <row r="17" ht="22.5" customHeight="1">
      <c r="A17" s="1" t="s">
        <v>37</v>
      </c>
      <c r="B17" s="8" t="s">
        <v>38</v>
      </c>
      <c r="C17" s="1" t="s">
        <v>36</v>
      </c>
      <c r="D17" s="1"/>
      <c r="E17" s="1"/>
      <c r="F17" s="1"/>
      <c r="G17" s="1"/>
      <c r="H17" s="1"/>
      <c r="I17" s="1"/>
      <c r="J17" s="1"/>
      <c r="K17" s="1"/>
      <c r="L17" s="1"/>
      <c r="M17" s="1"/>
      <c r="N17" s="1"/>
    </row>
    <row r="18" ht="22.5" customHeight="1">
      <c r="A18" s="1"/>
      <c r="B18" s="1"/>
      <c r="C18" s="1"/>
      <c r="D18" s="1"/>
      <c r="E18" s="1"/>
      <c r="F18" s="1"/>
      <c r="G18" s="1"/>
      <c r="H18" s="1"/>
      <c r="I18" s="1"/>
      <c r="J18" s="1"/>
      <c r="K18" s="1"/>
      <c r="L18" s="1"/>
      <c r="M18" s="1"/>
      <c r="N18" s="1"/>
    </row>
    <row r="19" ht="22.5" customHeight="1">
      <c r="A19" s="1"/>
      <c r="B19" s="1"/>
      <c r="C19" s="1"/>
      <c r="D19" s="1"/>
      <c r="E19" s="1"/>
      <c r="F19" s="1"/>
      <c r="G19" s="1"/>
      <c r="H19" s="1"/>
      <c r="I19" s="1"/>
      <c r="J19" s="1"/>
      <c r="K19" s="1"/>
      <c r="L19" s="1"/>
      <c r="M19" s="1"/>
      <c r="N19" s="1"/>
    </row>
    <row r="20" ht="36.0" customHeight="1">
      <c r="A20" s="3" t="s">
        <v>40</v>
      </c>
      <c r="B20" s="3" t="s">
        <v>26</v>
      </c>
      <c r="C20" s="3" t="s">
        <v>41</v>
      </c>
      <c r="D20" s="3" t="s">
        <v>42</v>
      </c>
      <c r="E20" s="1"/>
      <c r="F20" s="1"/>
      <c r="G20" s="1"/>
      <c r="H20" s="1"/>
      <c r="I20" s="1"/>
      <c r="J20" s="1"/>
      <c r="K20" s="1"/>
      <c r="L20" s="1"/>
      <c r="M20" s="1"/>
      <c r="N20" s="1"/>
    </row>
    <row r="21" ht="43.5" customHeight="1">
      <c r="A21" s="1" t="s">
        <v>46</v>
      </c>
      <c r="B21" s="11" t="s">
        <v>48</v>
      </c>
      <c r="C21" s="11" t="s">
        <v>52</v>
      </c>
      <c r="D21" s="13" t="s">
        <v>54</v>
      </c>
      <c r="E21" s="1"/>
      <c r="F21" s="1"/>
      <c r="G21" s="1"/>
      <c r="H21" s="1"/>
      <c r="I21" s="1"/>
      <c r="J21" s="1"/>
      <c r="K21" s="1"/>
      <c r="L21" s="1"/>
      <c r="M21" s="1"/>
      <c r="N21" s="1"/>
    </row>
    <row r="22" ht="43.5" customHeight="1">
      <c r="A22" s="1" t="s">
        <v>57</v>
      </c>
      <c r="B22" s="11" t="s">
        <v>59</v>
      </c>
      <c r="C22" s="11" t="s">
        <v>52</v>
      </c>
      <c r="D22" s="13" t="s">
        <v>61</v>
      </c>
      <c r="E22" s="1"/>
      <c r="F22" s="1"/>
      <c r="G22" s="1"/>
      <c r="H22" s="1"/>
      <c r="I22" s="1"/>
      <c r="J22" s="1"/>
      <c r="K22" s="1"/>
      <c r="L22" s="1"/>
      <c r="M22" s="1"/>
      <c r="N22" s="1"/>
    </row>
    <row r="23" ht="43.5" customHeight="1">
      <c r="A23" s="1" t="s">
        <v>64</v>
      </c>
      <c r="B23" s="11" t="s">
        <v>65</v>
      </c>
      <c r="C23" s="11" t="s">
        <v>52</v>
      </c>
      <c r="D23" s="13" t="s">
        <v>67</v>
      </c>
      <c r="E23" s="1"/>
      <c r="F23" s="1"/>
      <c r="G23" s="1"/>
      <c r="H23" s="1"/>
      <c r="I23" s="1"/>
      <c r="J23" s="1"/>
      <c r="K23" s="1"/>
      <c r="L23" s="1"/>
      <c r="M23" s="1"/>
      <c r="N23" s="1"/>
    </row>
    <row r="24" ht="43.5" customHeight="1">
      <c r="A24" s="1" t="s">
        <v>69</v>
      </c>
      <c r="B24" s="11" t="s">
        <v>70</v>
      </c>
      <c r="C24" s="11" t="s">
        <v>52</v>
      </c>
      <c r="D24" s="13" t="s">
        <v>72</v>
      </c>
      <c r="E24" s="1"/>
      <c r="F24" s="1"/>
      <c r="G24" s="1"/>
      <c r="H24" s="1"/>
      <c r="I24" s="1"/>
      <c r="J24" s="1"/>
      <c r="K24" s="1"/>
      <c r="L24" s="1"/>
      <c r="M24" s="1"/>
      <c r="N24" s="1"/>
    </row>
    <row r="25" ht="22.5" customHeight="1">
      <c r="A25" s="1"/>
      <c r="B25" s="1"/>
      <c r="C25" s="1"/>
      <c r="D25" s="1"/>
      <c r="E25" s="1"/>
      <c r="F25" s="1"/>
      <c r="G25" s="1"/>
      <c r="H25" s="1"/>
      <c r="I25" s="1"/>
      <c r="J25" s="1"/>
      <c r="K25" s="1"/>
      <c r="L25" s="1"/>
      <c r="M25" s="1"/>
      <c r="N25" s="1"/>
    </row>
    <row r="26" ht="22.5" customHeight="1">
      <c r="A26" s="1"/>
      <c r="B26" s="1"/>
      <c r="C26" s="1"/>
      <c r="D26" s="1"/>
      <c r="E26" s="1"/>
      <c r="F26" s="1"/>
      <c r="G26" s="1"/>
      <c r="H26" s="1"/>
      <c r="I26" s="1"/>
      <c r="J26" s="1"/>
      <c r="K26" s="1"/>
      <c r="L26" s="1"/>
      <c r="M26" s="1"/>
      <c r="N26" s="1"/>
    </row>
    <row r="27" ht="22.5" customHeight="1">
      <c r="A27" s="1" t="s">
        <v>80</v>
      </c>
      <c r="B27" s="1"/>
      <c r="C27" s="1"/>
      <c r="D27" s="1"/>
      <c r="E27" s="1"/>
      <c r="F27" s="1"/>
      <c r="G27" s="1"/>
      <c r="H27" s="1"/>
      <c r="I27" s="1"/>
      <c r="J27" s="1"/>
      <c r="K27" s="1"/>
      <c r="L27" s="1"/>
      <c r="M27" s="1"/>
      <c r="N27" s="1"/>
    </row>
    <row r="28" ht="22.5" customHeight="1">
      <c r="A28" s="1"/>
      <c r="B28" s="1"/>
      <c r="C28" s="1"/>
      <c r="D28" s="1"/>
      <c r="E28" s="1"/>
      <c r="F28" s="1"/>
      <c r="G28" s="1"/>
      <c r="H28" s="1"/>
      <c r="I28" s="1"/>
      <c r="J28" s="1"/>
      <c r="K28" s="1"/>
      <c r="L28" s="1"/>
      <c r="M28" s="1"/>
      <c r="N28" s="1"/>
    </row>
    <row r="29" ht="22.5" customHeight="1">
      <c r="A29" s="1" t="s">
        <v>86</v>
      </c>
      <c r="B29" s="1" t="s">
        <v>87</v>
      </c>
      <c r="C29" s="1"/>
      <c r="D29" s="1"/>
      <c r="E29" s="1"/>
      <c r="F29" s="1"/>
      <c r="G29" s="1"/>
      <c r="H29" s="1"/>
      <c r="I29" s="1"/>
      <c r="J29" s="1"/>
      <c r="K29" s="1"/>
      <c r="L29" s="1"/>
      <c r="M29" s="1"/>
      <c r="N29" s="1"/>
    </row>
    <row r="30" ht="22.5" customHeight="1">
      <c r="A30" s="1" t="s">
        <v>93</v>
      </c>
      <c r="B30" s="1">
        <v>9.0</v>
      </c>
      <c r="C30" s="1"/>
      <c r="D30" s="1"/>
      <c r="E30" s="1"/>
      <c r="F30" s="1"/>
      <c r="G30" s="1"/>
      <c r="H30" s="1"/>
      <c r="I30" s="1"/>
      <c r="J30" s="1"/>
      <c r="K30" s="1"/>
      <c r="L30" s="1"/>
      <c r="M30" s="1"/>
      <c r="N30" s="1"/>
    </row>
    <row r="31" ht="22.5" customHeight="1">
      <c r="A31" s="1" t="s">
        <v>97</v>
      </c>
      <c r="B31" s="1">
        <v>0.1</v>
      </c>
      <c r="C31" s="1"/>
      <c r="D31" s="1"/>
      <c r="E31" s="1"/>
      <c r="F31" s="1"/>
      <c r="G31" s="1"/>
      <c r="H31" s="1"/>
      <c r="I31" s="1"/>
      <c r="J31" s="1"/>
      <c r="K31" s="1"/>
      <c r="L31" s="1"/>
      <c r="M31" s="1"/>
      <c r="N31" s="1"/>
    </row>
    <row r="32" ht="22.5" customHeight="1">
      <c r="A32" s="1" t="s">
        <v>102</v>
      </c>
      <c r="B32" s="1">
        <v>0.9</v>
      </c>
      <c r="C32" s="1"/>
      <c r="D32" s="1"/>
      <c r="E32" s="1"/>
      <c r="F32" s="1"/>
      <c r="G32" s="1"/>
      <c r="H32" s="1"/>
      <c r="I32" s="1"/>
      <c r="J32" s="1"/>
      <c r="K32" s="1"/>
      <c r="L32" s="1"/>
      <c r="M32" s="1"/>
      <c r="N32" s="1"/>
    </row>
    <row r="33" ht="22.5" customHeight="1">
      <c r="A33" s="1"/>
      <c r="B33" s="1"/>
      <c r="C33" s="1"/>
      <c r="D33" s="1"/>
      <c r="E33" s="1"/>
      <c r="F33" s="1"/>
      <c r="G33" s="1"/>
      <c r="H33" s="1"/>
      <c r="I33" s="1"/>
      <c r="J33" s="1"/>
      <c r="K33" s="1"/>
      <c r="L33" s="1"/>
      <c r="M33" s="1"/>
      <c r="N33" s="1"/>
    </row>
    <row r="34" ht="22.5" customHeight="1">
      <c r="A34" s="1"/>
      <c r="B34" s="1"/>
      <c r="C34" s="1"/>
      <c r="D34" s="1"/>
      <c r="E34" s="1"/>
      <c r="F34" s="1"/>
      <c r="G34" s="1"/>
      <c r="H34" s="1"/>
      <c r="I34" s="1"/>
      <c r="J34" s="1"/>
      <c r="K34" s="1"/>
      <c r="L34" s="1"/>
      <c r="M34" s="1"/>
      <c r="N34" s="1"/>
    </row>
    <row r="35" ht="22.5" customHeight="1">
      <c r="A35" s="1" t="s">
        <v>106</v>
      </c>
      <c r="B35" s="1"/>
      <c r="C35" s="1"/>
      <c r="D35" s="1"/>
      <c r="E35" s="1"/>
      <c r="F35" s="1"/>
      <c r="G35" s="1"/>
      <c r="H35" s="1"/>
      <c r="I35" s="1"/>
      <c r="J35" s="1"/>
      <c r="K35" s="1"/>
      <c r="L35" s="1"/>
      <c r="M35" s="1"/>
      <c r="N35" s="1"/>
    </row>
    <row r="36" ht="22.5" customHeight="1">
      <c r="A36" s="1"/>
      <c r="B36" s="1"/>
      <c r="C36" s="1"/>
      <c r="D36" s="1"/>
      <c r="E36" s="1"/>
      <c r="F36" s="1"/>
      <c r="G36" s="1"/>
      <c r="H36" s="1"/>
      <c r="I36" s="1"/>
      <c r="J36" s="1"/>
      <c r="K36" s="1"/>
      <c r="L36" s="1"/>
      <c r="M36" s="1"/>
      <c r="N36" s="1"/>
    </row>
    <row r="37" ht="22.5" customHeight="1">
      <c r="A37" s="1" t="s">
        <v>108</v>
      </c>
      <c r="B37" s="1"/>
      <c r="C37" s="1"/>
      <c r="D37" s="1"/>
      <c r="E37" s="1"/>
      <c r="F37" s="1"/>
      <c r="G37" s="1"/>
      <c r="H37" s="1"/>
      <c r="I37" s="1"/>
      <c r="J37" s="1"/>
      <c r="K37" s="1"/>
      <c r="L37" s="1"/>
      <c r="M37" s="1"/>
      <c r="N37" s="1"/>
    </row>
    <row r="38" ht="22.5" customHeight="1">
      <c r="A38" s="1"/>
      <c r="B38" s="1"/>
      <c r="C38" s="1"/>
      <c r="D38" s="1"/>
      <c r="E38" s="1"/>
      <c r="F38" s="1"/>
      <c r="G38" s="1"/>
      <c r="H38" s="1"/>
      <c r="I38" s="1"/>
      <c r="J38" s="1"/>
      <c r="K38" s="1"/>
      <c r="L38" s="1"/>
      <c r="M38" s="1"/>
      <c r="N38" s="1"/>
    </row>
    <row r="39" ht="22.5" customHeight="1">
      <c r="A39" s="1"/>
      <c r="B39" s="1"/>
      <c r="C39" s="1"/>
      <c r="D39" s="1"/>
      <c r="E39" s="1"/>
      <c r="F39" s="1"/>
      <c r="G39" s="1"/>
      <c r="H39" s="1"/>
      <c r="I39" s="1"/>
      <c r="J39" s="1"/>
      <c r="K39" s="1"/>
      <c r="L39" s="1"/>
      <c r="M39" s="1"/>
      <c r="N39" s="1"/>
    </row>
    <row r="40" ht="22.5" customHeight="1">
      <c r="A40" s="1" t="s">
        <v>109</v>
      </c>
      <c r="B40" s="1"/>
      <c r="C40" s="1"/>
      <c r="D40" s="1"/>
      <c r="E40" s="1"/>
      <c r="F40" s="1"/>
      <c r="G40" s="1"/>
      <c r="H40" s="1"/>
      <c r="I40" s="1"/>
      <c r="J40" s="1"/>
      <c r="K40" s="1"/>
      <c r="L40" s="1"/>
      <c r="M40" s="1"/>
      <c r="N40" s="1"/>
    </row>
    <row r="41" ht="22.5" customHeight="1">
      <c r="A41" s="1" t="s">
        <v>110</v>
      </c>
      <c r="B41" s="1" t="s">
        <v>111</v>
      </c>
      <c r="C41" s="1"/>
      <c r="D41" s="1"/>
      <c r="E41" s="1"/>
      <c r="F41" s="1"/>
      <c r="G41" s="1"/>
      <c r="H41" s="1"/>
      <c r="I41" s="1"/>
      <c r="J41" s="1"/>
      <c r="K41" s="1"/>
      <c r="L41" s="1"/>
      <c r="M41" s="1"/>
      <c r="N41" s="1"/>
    </row>
    <row r="42" ht="22.5" customHeight="1">
      <c r="A42" s="1" t="s">
        <v>112</v>
      </c>
      <c r="B42" s="1" t="s">
        <v>113</v>
      </c>
      <c r="C42" s="1"/>
      <c r="D42" s="1"/>
      <c r="E42" s="1"/>
      <c r="F42" s="1"/>
      <c r="G42" s="1"/>
      <c r="H42" s="1"/>
      <c r="I42" s="1"/>
      <c r="J42" s="1"/>
      <c r="K42" s="1"/>
      <c r="L42" s="1"/>
      <c r="M42" s="1"/>
      <c r="N42" s="1"/>
    </row>
    <row r="43" ht="22.5" customHeight="1">
      <c r="A43" s="1" t="s">
        <v>115</v>
      </c>
      <c r="B43" s="1" t="s">
        <v>116</v>
      </c>
      <c r="C43" s="1"/>
      <c r="D43" s="1"/>
      <c r="E43" s="1"/>
      <c r="F43" s="1"/>
      <c r="G43" s="1"/>
      <c r="H43" s="1"/>
      <c r="I43" s="1"/>
      <c r="J43" s="1"/>
      <c r="K43" s="1"/>
      <c r="L43" s="1"/>
      <c r="M43" s="1"/>
      <c r="N43" s="1"/>
    </row>
    <row r="44" ht="22.5" customHeight="1">
      <c r="A44" s="1"/>
      <c r="B44" s="1"/>
      <c r="C44" s="1"/>
      <c r="D44" s="1"/>
      <c r="E44" s="1"/>
      <c r="F44" s="1"/>
      <c r="G44" s="1"/>
      <c r="H44" s="1"/>
      <c r="I44" s="1"/>
      <c r="J44" s="1"/>
      <c r="K44" s="1"/>
      <c r="L44" s="1"/>
      <c r="M44" s="1"/>
      <c r="N44" s="1"/>
    </row>
    <row r="45" ht="22.5" customHeight="1">
      <c r="A45" s="1"/>
      <c r="B45" s="1"/>
      <c r="C45" s="1"/>
      <c r="D45" s="1"/>
      <c r="E45" s="1"/>
      <c r="F45" s="1"/>
      <c r="G45" s="1"/>
      <c r="H45" s="1"/>
      <c r="I45" s="1"/>
      <c r="J45" s="1"/>
      <c r="K45" s="1"/>
      <c r="L45" s="1"/>
      <c r="M45" s="1"/>
      <c r="N45" s="1"/>
    </row>
    <row r="46" ht="22.5" customHeight="1">
      <c r="A46" s="1"/>
      <c r="B46" s="1"/>
      <c r="C46" s="1"/>
      <c r="D46" s="1"/>
      <c r="E46" s="1"/>
      <c r="F46" s="1"/>
      <c r="G46" s="1"/>
      <c r="H46" s="1"/>
      <c r="I46" s="1"/>
      <c r="J46" s="1"/>
      <c r="K46" s="1"/>
      <c r="L46" s="1"/>
      <c r="M46" s="1"/>
      <c r="N46" s="1"/>
    </row>
    <row r="47" ht="22.5" customHeight="1">
      <c r="A47" s="1"/>
      <c r="B47" s="1"/>
      <c r="C47" s="1"/>
      <c r="D47" s="1"/>
      <c r="E47" s="1"/>
      <c r="F47" s="1"/>
      <c r="G47" s="1"/>
      <c r="H47" s="1"/>
      <c r="I47" s="1"/>
      <c r="J47" s="1"/>
      <c r="K47" s="1"/>
      <c r="L47" s="1"/>
      <c r="M47" s="1"/>
      <c r="N47" s="1"/>
    </row>
    <row r="48" ht="22.5" customHeight="1">
      <c r="A48" s="1"/>
      <c r="B48" s="1"/>
      <c r="C48" s="1"/>
      <c r="D48" s="1"/>
      <c r="E48" s="1"/>
      <c r="F48" s="1"/>
      <c r="G48" s="1"/>
      <c r="H48" s="1"/>
      <c r="I48" s="1"/>
      <c r="J48" s="1"/>
      <c r="K48" s="1"/>
      <c r="L48" s="1"/>
      <c r="M48" s="1"/>
      <c r="N48" s="1"/>
    </row>
    <row r="49" ht="22.5" customHeight="1">
      <c r="A49" s="1"/>
      <c r="B49" s="1"/>
      <c r="C49" s="1"/>
      <c r="D49" s="1"/>
      <c r="E49" s="1"/>
      <c r="F49" s="1"/>
      <c r="G49" s="1"/>
      <c r="H49" s="1"/>
      <c r="I49" s="1"/>
      <c r="J49" s="1"/>
      <c r="K49" s="1"/>
      <c r="L49" s="1"/>
      <c r="M49" s="1"/>
      <c r="N49" s="1"/>
    </row>
    <row r="50" ht="22.5" customHeight="1">
      <c r="A50" s="1"/>
      <c r="B50" s="1"/>
      <c r="C50" s="1"/>
      <c r="D50" s="1"/>
      <c r="E50" s="1"/>
      <c r="F50" s="1"/>
      <c r="G50" s="1"/>
      <c r="H50" s="1"/>
      <c r="I50" s="1"/>
      <c r="J50" s="1"/>
      <c r="K50" s="1"/>
      <c r="L50" s="1"/>
      <c r="M50" s="1"/>
      <c r="N50" s="1"/>
    </row>
    <row r="51" ht="22.5" customHeight="1">
      <c r="A51" s="1"/>
      <c r="B51" s="1"/>
      <c r="C51" s="1"/>
      <c r="D51" s="1"/>
      <c r="E51" s="1"/>
      <c r="F51" s="1"/>
      <c r="G51" s="1"/>
      <c r="H51" s="1"/>
      <c r="I51" s="1"/>
      <c r="J51" s="1"/>
      <c r="K51" s="1"/>
      <c r="L51" s="1"/>
      <c r="M51" s="1"/>
      <c r="N51" s="1"/>
    </row>
    <row r="52" ht="22.5" customHeight="1">
      <c r="A52" s="1"/>
      <c r="B52" s="1"/>
      <c r="C52" s="1"/>
      <c r="D52" s="1"/>
      <c r="E52" s="1"/>
      <c r="F52" s="1"/>
      <c r="G52" s="1"/>
      <c r="H52" s="1"/>
      <c r="I52" s="1"/>
      <c r="J52" s="1"/>
      <c r="K52" s="1"/>
      <c r="L52" s="1"/>
      <c r="M52" s="1"/>
      <c r="N52" s="1"/>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1:C24">
      <formula1>"MAX,MIN"</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2.0"/>
    <col customWidth="1" min="2" max="2" width="18.88"/>
    <col customWidth="1" min="3" max="3" width="42.0"/>
    <col customWidth="1" min="4" max="4" width="51.38"/>
  </cols>
  <sheetData>
    <row r="1" ht="24.0" customHeight="1">
      <c r="A1" s="5" t="s">
        <v>6</v>
      </c>
    </row>
    <row r="2" ht="24.0" customHeight="1">
      <c r="A2" s="6" t="s">
        <v>15</v>
      </c>
    </row>
    <row r="3" ht="24.0" customHeight="1">
      <c r="A3" s="6" t="s">
        <v>17</v>
      </c>
    </row>
    <row r="4" ht="12.0" customHeight="1">
      <c r="A4" s="6"/>
      <c r="B4" s="6"/>
      <c r="C4" s="6"/>
      <c r="D4" s="6"/>
    </row>
    <row r="5" ht="27.0" customHeight="1">
      <c r="A5" s="7" t="s">
        <v>18</v>
      </c>
    </row>
    <row r="6" ht="27.0" customHeight="1">
      <c r="A6" s="6" t="s">
        <v>19</v>
      </c>
      <c r="B6" s="6" t="s">
        <v>20</v>
      </c>
    </row>
    <row r="7" ht="27.0" customHeight="1">
      <c r="A7" s="6" t="s">
        <v>22</v>
      </c>
      <c r="B7" s="6" t="str">
        <f>'Настройки'!B14</f>
        <v>Детейлинг-центр</v>
      </c>
    </row>
    <row r="8" ht="27.0" customHeight="1">
      <c r="A8" s="6" t="s">
        <v>32</v>
      </c>
      <c r="B8" s="10" t="s">
        <v>35</v>
      </c>
    </row>
    <row r="9" ht="27.0" customHeight="1">
      <c r="A9" s="6" t="s">
        <v>39</v>
      </c>
      <c r="B9" s="10" t="str">
        <f>'Настройки'!B7</f>
        <v>Кветкин Дмитрий Евгеньевич</v>
      </c>
    </row>
    <row r="10" ht="45.0" customHeight="1">
      <c r="A10" s="6" t="s">
        <v>43</v>
      </c>
      <c r="B10" s="10" t="s">
        <v>44</v>
      </c>
    </row>
    <row r="11" ht="27.0" customHeight="1">
      <c r="A11" s="6" t="s">
        <v>45</v>
      </c>
      <c r="B11" s="10" t="s">
        <v>47</v>
      </c>
    </row>
    <row r="12" ht="45.0" customHeight="1">
      <c r="A12" s="6" t="s">
        <v>49</v>
      </c>
      <c r="B12" s="10" t="s">
        <v>50</v>
      </c>
    </row>
    <row r="13" ht="45.0" customHeight="1">
      <c r="A13" s="6" t="s">
        <v>51</v>
      </c>
      <c r="B13" s="10" t="s">
        <v>53</v>
      </c>
    </row>
    <row r="14" ht="45.0" customHeight="1">
      <c r="A14" s="6" t="s">
        <v>55</v>
      </c>
      <c r="B14" s="10" t="s">
        <v>56</v>
      </c>
    </row>
    <row r="15" ht="27.0" customHeight="1">
      <c r="A15" s="6" t="s">
        <v>58</v>
      </c>
      <c r="B15" s="10" t="s">
        <v>60</v>
      </c>
    </row>
    <row r="16" ht="27.0" customHeight="1">
      <c r="A16" s="7" t="s">
        <v>62</v>
      </c>
      <c r="B16" s="7" t="s">
        <v>63</v>
      </c>
      <c r="C16" s="7" t="s">
        <v>66</v>
      </c>
      <c r="D16" s="7" t="s">
        <v>68</v>
      </c>
    </row>
    <row r="17" ht="45.0" customHeight="1">
      <c r="A17" s="6">
        <v>1.0</v>
      </c>
      <c r="B17" s="10" t="s">
        <v>63</v>
      </c>
      <c r="C17" s="10" t="s">
        <v>71</v>
      </c>
      <c r="D17" s="10" t="s">
        <v>73</v>
      </c>
    </row>
    <row r="18" ht="45.0" customHeight="1">
      <c r="A18" s="6">
        <v>2.0</v>
      </c>
      <c r="B18" s="10" t="s">
        <v>74</v>
      </c>
      <c r="C18" s="10" t="s">
        <v>75</v>
      </c>
      <c r="D18" s="10" t="s">
        <v>76</v>
      </c>
    </row>
    <row r="19" ht="45.0" customHeight="1">
      <c r="A19" s="6">
        <v>3.0</v>
      </c>
      <c r="B19" s="10" t="s">
        <v>74</v>
      </c>
      <c r="C19" s="10" t="s">
        <v>77</v>
      </c>
      <c r="D19" s="10" t="s">
        <v>78</v>
      </c>
    </row>
    <row r="20" ht="45.0" customHeight="1">
      <c r="A20" s="6">
        <v>4.0</v>
      </c>
      <c r="B20" s="10" t="s">
        <v>74</v>
      </c>
      <c r="C20" s="10" t="s">
        <v>79</v>
      </c>
      <c r="D20" s="10" t="s">
        <v>81</v>
      </c>
    </row>
    <row r="21" ht="45.0" customHeight="1">
      <c r="A21" s="6">
        <v>5.0</v>
      </c>
      <c r="B21" s="10" t="s">
        <v>74</v>
      </c>
      <c r="C21" s="10" t="s">
        <v>82</v>
      </c>
      <c r="D21" s="10" t="s">
        <v>83</v>
      </c>
    </row>
    <row r="22" ht="45.0" customHeight="1">
      <c r="A22" s="6">
        <v>6.0</v>
      </c>
      <c r="B22" s="10" t="s">
        <v>74</v>
      </c>
      <c r="C22" s="10" t="s">
        <v>84</v>
      </c>
      <c r="D22" s="10" t="s">
        <v>85</v>
      </c>
    </row>
    <row r="23" ht="45.0" customHeight="1">
      <c r="A23" s="6">
        <v>7.0</v>
      </c>
      <c r="B23" s="10" t="s">
        <v>74</v>
      </c>
      <c r="C23" s="10" t="s">
        <v>88</v>
      </c>
      <c r="D23" s="10" t="s">
        <v>89</v>
      </c>
    </row>
    <row r="24" ht="45.0" customHeight="1">
      <c r="A24" s="6">
        <v>8.0</v>
      </c>
      <c r="B24" s="10" t="s">
        <v>90</v>
      </c>
      <c r="C24" s="10" t="s">
        <v>91</v>
      </c>
      <c r="D24" s="10" t="s">
        <v>92</v>
      </c>
    </row>
    <row r="25" ht="45.0" customHeight="1">
      <c r="A25" s="6">
        <v>9.0</v>
      </c>
      <c r="B25" s="10" t="s">
        <v>90</v>
      </c>
      <c r="C25" s="10" t="s">
        <v>94</v>
      </c>
      <c r="D25" s="10" t="s">
        <v>95</v>
      </c>
    </row>
    <row r="26" ht="45.0" customHeight="1">
      <c r="A26" s="6">
        <v>10.0</v>
      </c>
      <c r="B26" s="10" t="s">
        <v>96</v>
      </c>
      <c r="C26" s="10" t="s">
        <v>98</v>
      </c>
      <c r="D26" s="10" t="s">
        <v>99</v>
      </c>
    </row>
    <row r="27" ht="45.0" customHeight="1">
      <c r="A27" s="6">
        <v>11.0</v>
      </c>
      <c r="B27" s="10" t="s">
        <v>90</v>
      </c>
      <c r="C27" s="10" t="s">
        <v>100</v>
      </c>
      <c r="D27" s="10" t="s">
        <v>101</v>
      </c>
    </row>
    <row r="28" ht="45.0" customHeight="1">
      <c r="A28" s="6">
        <v>12.0</v>
      </c>
      <c r="B28" s="10" t="s">
        <v>90</v>
      </c>
      <c r="C28" s="10" t="s">
        <v>103</v>
      </c>
      <c r="D28" s="10" t="s">
        <v>104</v>
      </c>
    </row>
    <row r="29" ht="45.0" customHeight="1">
      <c r="A29" s="6">
        <v>13.0</v>
      </c>
      <c r="B29" s="10"/>
      <c r="C29" s="10"/>
      <c r="D29" s="10"/>
    </row>
    <row r="30" ht="45.0" customHeight="1">
      <c r="A30" s="6">
        <v>14.0</v>
      </c>
      <c r="B30" s="10"/>
      <c r="C30" s="10"/>
      <c r="D30" s="10"/>
    </row>
    <row r="31" ht="45.0" customHeight="1">
      <c r="A31" s="6">
        <v>15.0</v>
      </c>
      <c r="B31" s="10"/>
      <c r="C31" s="10"/>
      <c r="D31" s="10"/>
    </row>
    <row r="32" ht="12.0" customHeight="1">
      <c r="A32" s="6"/>
      <c r="B32" s="6"/>
      <c r="C32" s="6"/>
      <c r="D32" s="6"/>
    </row>
    <row r="33" ht="27.0" customHeight="1">
      <c r="A33" s="7" t="s">
        <v>107</v>
      </c>
    </row>
    <row r="34" ht="27.0" customHeight="1">
      <c r="A34" s="14" t="s">
        <v>19</v>
      </c>
      <c r="B34" s="14" t="s">
        <v>30</v>
      </c>
    </row>
    <row r="35" ht="17.25" customHeight="1">
      <c r="A35" s="14" t="s">
        <v>22</v>
      </c>
      <c r="B35" s="15" t="str">
        <f>'Настройки'!B15</f>
        <v>Планировщик покупок</v>
      </c>
    </row>
    <row r="36" ht="17.25" customHeight="1">
      <c r="A36" s="14" t="s">
        <v>32</v>
      </c>
      <c r="B36" s="16" t="s">
        <v>114</v>
      </c>
    </row>
    <row r="37" ht="17.25" customHeight="1">
      <c r="A37" s="14" t="s">
        <v>39</v>
      </c>
      <c r="B37" s="16" t="str">
        <f>'Настройки'!B9</f>
        <v>Добросоцкий Михаил Сергеевич</v>
      </c>
    </row>
    <row r="38" ht="55.5" customHeight="1">
      <c r="A38" s="14" t="s">
        <v>43</v>
      </c>
      <c r="B38" s="16" t="s">
        <v>117</v>
      </c>
    </row>
    <row r="39" ht="27.75" customHeight="1">
      <c r="A39" s="14" t="s">
        <v>45</v>
      </c>
      <c r="B39" s="16" t="s">
        <v>118</v>
      </c>
    </row>
    <row r="40" ht="42.75" customHeight="1">
      <c r="A40" s="14" t="s">
        <v>49</v>
      </c>
      <c r="B40" s="16" t="s">
        <v>119</v>
      </c>
    </row>
    <row r="41" ht="27.0" customHeight="1">
      <c r="A41" s="14" t="s">
        <v>51</v>
      </c>
      <c r="B41" s="16" t="s">
        <v>120</v>
      </c>
    </row>
    <row r="42" ht="52.5" customHeight="1">
      <c r="A42" s="14" t="s">
        <v>55</v>
      </c>
      <c r="B42" s="16" t="s">
        <v>121</v>
      </c>
    </row>
    <row r="43" ht="27.0" customHeight="1">
      <c r="A43" s="14" t="s">
        <v>58</v>
      </c>
      <c r="B43" s="16" t="s">
        <v>122</v>
      </c>
    </row>
    <row r="44" ht="27.0" customHeight="1">
      <c r="A44" s="7" t="s">
        <v>62</v>
      </c>
      <c r="B44" s="7" t="s">
        <v>63</v>
      </c>
      <c r="C44" s="7" t="s">
        <v>66</v>
      </c>
      <c r="D44" s="7" t="s">
        <v>68</v>
      </c>
    </row>
    <row r="45" ht="45.0" customHeight="1">
      <c r="A45" s="6">
        <v>1.0</v>
      </c>
      <c r="B45" s="17" t="s">
        <v>63</v>
      </c>
      <c r="C45" s="17" t="s">
        <v>123</v>
      </c>
      <c r="D45" s="17" t="s">
        <v>124</v>
      </c>
    </row>
    <row r="46" ht="45.0" customHeight="1">
      <c r="A46" s="6">
        <v>2.0</v>
      </c>
      <c r="B46" s="17" t="s">
        <v>63</v>
      </c>
      <c r="C46" s="17" t="s">
        <v>125</v>
      </c>
      <c r="D46" s="17" t="s">
        <v>126</v>
      </c>
    </row>
    <row r="47" ht="45.0" customHeight="1">
      <c r="A47" s="6">
        <v>3.0</v>
      </c>
      <c r="B47" s="17" t="s">
        <v>63</v>
      </c>
      <c r="C47" s="17" t="s">
        <v>127</v>
      </c>
      <c r="D47" s="17" t="s">
        <v>128</v>
      </c>
    </row>
    <row r="48" ht="45.0" customHeight="1">
      <c r="A48" s="6">
        <v>4.0</v>
      </c>
      <c r="B48" s="17" t="s">
        <v>63</v>
      </c>
      <c r="C48" s="17" t="s">
        <v>129</v>
      </c>
      <c r="D48" s="17" t="s">
        <v>130</v>
      </c>
    </row>
    <row r="49" ht="54.0" customHeight="1">
      <c r="A49" s="6">
        <v>5.0</v>
      </c>
      <c r="B49" s="17" t="s">
        <v>63</v>
      </c>
      <c r="C49" s="17" t="s">
        <v>131</v>
      </c>
      <c r="D49" s="17" t="s">
        <v>132</v>
      </c>
    </row>
    <row r="50" ht="45.0" customHeight="1">
      <c r="A50" s="6">
        <v>6.0</v>
      </c>
      <c r="B50" s="17" t="s">
        <v>63</v>
      </c>
      <c r="C50" s="17" t="s">
        <v>133</v>
      </c>
      <c r="D50" s="17" t="s">
        <v>134</v>
      </c>
    </row>
    <row r="51" ht="45.0" customHeight="1">
      <c r="A51" s="6">
        <v>7.0</v>
      </c>
      <c r="B51" s="17" t="s">
        <v>63</v>
      </c>
      <c r="C51" s="17" t="s">
        <v>135</v>
      </c>
      <c r="D51" s="17" t="s">
        <v>136</v>
      </c>
    </row>
    <row r="52" ht="45.0" customHeight="1">
      <c r="A52" s="6">
        <v>8.0</v>
      </c>
      <c r="B52" s="17" t="s">
        <v>63</v>
      </c>
      <c r="C52" s="17" t="s">
        <v>137</v>
      </c>
      <c r="D52" s="17" t="s">
        <v>138</v>
      </c>
    </row>
    <row r="53" ht="45.0" customHeight="1">
      <c r="A53" s="6">
        <v>9.0</v>
      </c>
      <c r="B53" s="17" t="s">
        <v>63</v>
      </c>
      <c r="C53" s="17" t="s">
        <v>139</v>
      </c>
      <c r="D53" s="17" t="s">
        <v>140</v>
      </c>
    </row>
    <row r="54" ht="45.0" customHeight="1">
      <c r="A54" s="6">
        <v>10.0</v>
      </c>
      <c r="B54" s="17" t="s">
        <v>63</v>
      </c>
      <c r="C54" s="17" t="s">
        <v>141</v>
      </c>
      <c r="D54" s="17" t="s">
        <v>142</v>
      </c>
    </row>
    <row r="55" ht="45.0" customHeight="1">
      <c r="A55" s="6">
        <v>11.0</v>
      </c>
      <c r="B55" s="17" t="s">
        <v>63</v>
      </c>
      <c r="C55" s="17" t="s">
        <v>143</v>
      </c>
      <c r="D55" s="17" t="s">
        <v>144</v>
      </c>
    </row>
    <row r="56" ht="45.0" customHeight="1">
      <c r="A56" s="6">
        <v>12.0</v>
      </c>
      <c r="B56" s="17" t="s">
        <v>63</v>
      </c>
      <c r="C56" s="17" t="s">
        <v>145</v>
      </c>
      <c r="D56" s="17" t="s">
        <v>146</v>
      </c>
    </row>
    <row r="57" ht="45.0" customHeight="1">
      <c r="A57" s="6">
        <v>13.0</v>
      </c>
      <c r="B57" s="17" t="s">
        <v>63</v>
      </c>
      <c r="C57" s="17" t="s">
        <v>147</v>
      </c>
      <c r="D57" s="17" t="s">
        <v>148</v>
      </c>
    </row>
    <row r="58" ht="45.0" customHeight="1">
      <c r="A58" s="6">
        <v>14.0</v>
      </c>
      <c r="B58" s="17" t="s">
        <v>63</v>
      </c>
      <c r="C58" s="17" t="s">
        <v>149</v>
      </c>
      <c r="D58" s="17" t="s">
        <v>150</v>
      </c>
    </row>
    <row r="59" ht="45.0" customHeight="1">
      <c r="A59" s="6">
        <v>15.0</v>
      </c>
      <c r="B59" s="17"/>
      <c r="C59" s="10"/>
      <c r="D59" s="10"/>
    </row>
    <row r="60" ht="12.0" customHeight="1">
      <c r="A60" s="6"/>
      <c r="B60" s="6"/>
      <c r="C60" s="6"/>
      <c r="D60" s="6"/>
    </row>
    <row r="61" ht="27.0" customHeight="1">
      <c r="A61" s="7" t="s">
        <v>151</v>
      </c>
    </row>
    <row r="62" ht="27.0" customHeight="1">
      <c r="A62" s="6" t="s">
        <v>19</v>
      </c>
      <c r="B62" s="6" t="s">
        <v>33</v>
      </c>
    </row>
    <row r="63" ht="27.0" customHeight="1">
      <c r="A63" s="6" t="s">
        <v>22</v>
      </c>
      <c r="B63" s="6" t="str">
        <f>'Настройки'!B16</f>
        <v>Концепция 3</v>
      </c>
    </row>
    <row r="64" ht="27.0" customHeight="1">
      <c r="A64" s="6" t="s">
        <v>32</v>
      </c>
      <c r="B64" s="10"/>
    </row>
    <row r="65" ht="27.0" customHeight="1">
      <c r="A65" s="6" t="s">
        <v>39</v>
      </c>
      <c r="B65" s="10"/>
    </row>
    <row r="66" ht="45.0" customHeight="1">
      <c r="A66" s="6" t="s">
        <v>43</v>
      </c>
      <c r="B66" s="10"/>
    </row>
    <row r="67" ht="27.0" customHeight="1">
      <c r="A67" s="6" t="s">
        <v>45</v>
      </c>
      <c r="B67" s="10"/>
    </row>
    <row r="68" ht="45.0" customHeight="1">
      <c r="A68" s="6" t="s">
        <v>49</v>
      </c>
      <c r="B68" s="10"/>
    </row>
    <row r="69" ht="45.0" customHeight="1">
      <c r="A69" s="6" t="s">
        <v>51</v>
      </c>
      <c r="B69" s="10"/>
    </row>
    <row r="70" ht="45.0" customHeight="1">
      <c r="A70" s="6" t="s">
        <v>55</v>
      </c>
      <c r="B70" s="10"/>
    </row>
    <row r="71" ht="27.0" customHeight="1">
      <c r="A71" s="6" t="s">
        <v>58</v>
      </c>
      <c r="B71" s="10" t="s">
        <v>153</v>
      </c>
    </row>
    <row r="72" ht="27.0" customHeight="1">
      <c r="A72" s="7" t="s">
        <v>62</v>
      </c>
      <c r="B72" s="7" t="s">
        <v>63</v>
      </c>
      <c r="C72" s="7" t="s">
        <v>66</v>
      </c>
      <c r="D72" s="7" t="s">
        <v>68</v>
      </c>
    </row>
    <row r="73" ht="45.0" customHeight="1">
      <c r="A73" s="6">
        <v>1.0</v>
      </c>
      <c r="B73" s="10"/>
      <c r="C73" s="10"/>
      <c r="D73" s="10"/>
    </row>
    <row r="74" ht="45.0" customHeight="1">
      <c r="A74" s="6">
        <v>2.0</v>
      </c>
      <c r="B74" s="10"/>
      <c r="C74" s="10"/>
      <c r="D74" s="10"/>
    </row>
    <row r="75" ht="45.0" customHeight="1">
      <c r="A75" s="6">
        <v>3.0</v>
      </c>
      <c r="B75" s="10"/>
      <c r="C75" s="10"/>
      <c r="D75" s="10"/>
    </row>
    <row r="76" ht="45.0" customHeight="1">
      <c r="A76" s="6">
        <v>4.0</v>
      </c>
      <c r="B76" s="10"/>
      <c r="C76" s="10"/>
      <c r="D76" s="10"/>
    </row>
    <row r="77" ht="45.0" customHeight="1">
      <c r="A77" s="6">
        <v>5.0</v>
      </c>
      <c r="B77" s="10"/>
      <c r="C77" s="10"/>
      <c r="D77" s="10"/>
    </row>
    <row r="78" ht="45.0" customHeight="1">
      <c r="A78" s="6">
        <v>6.0</v>
      </c>
      <c r="B78" s="10"/>
      <c r="C78" s="10"/>
      <c r="D78" s="10"/>
    </row>
    <row r="79" ht="45.0" customHeight="1">
      <c r="A79" s="6">
        <v>7.0</v>
      </c>
      <c r="B79" s="10"/>
      <c r="C79" s="10"/>
      <c r="D79" s="10"/>
    </row>
    <row r="80" ht="45.0" customHeight="1">
      <c r="A80" s="6">
        <v>8.0</v>
      </c>
      <c r="B80" s="10"/>
      <c r="C80" s="10"/>
      <c r="D80" s="10"/>
    </row>
    <row r="81" ht="45.0" customHeight="1">
      <c r="A81" s="6">
        <v>9.0</v>
      </c>
      <c r="B81" s="10"/>
      <c r="C81" s="10"/>
      <c r="D81" s="10"/>
    </row>
    <row r="82" ht="45.0" customHeight="1">
      <c r="A82" s="6">
        <v>10.0</v>
      </c>
      <c r="B82" s="10"/>
      <c r="C82" s="10"/>
      <c r="D82" s="10"/>
    </row>
    <row r="83" ht="45.0" customHeight="1">
      <c r="A83" s="6">
        <v>11.0</v>
      </c>
      <c r="B83" s="10"/>
      <c r="C83" s="10"/>
      <c r="D83" s="10"/>
    </row>
    <row r="84" ht="45.0" customHeight="1">
      <c r="A84" s="6">
        <v>12.0</v>
      </c>
      <c r="B84" s="10"/>
      <c r="C84" s="10"/>
      <c r="D84" s="10"/>
    </row>
    <row r="85" ht="45.0" customHeight="1">
      <c r="A85" s="6">
        <v>13.0</v>
      </c>
      <c r="B85" s="10"/>
      <c r="C85" s="10"/>
      <c r="D85" s="10"/>
    </row>
    <row r="86" ht="45.0" customHeight="1">
      <c r="A86" s="6">
        <v>14.0</v>
      </c>
      <c r="B86" s="10"/>
      <c r="C86" s="10"/>
      <c r="D86" s="10"/>
    </row>
    <row r="87" ht="45.0" customHeight="1">
      <c r="A87" s="6">
        <v>15.0</v>
      </c>
      <c r="B87" s="10"/>
      <c r="C87" s="10"/>
      <c r="D87" s="10"/>
    </row>
    <row r="88" ht="12.0" customHeight="1">
      <c r="A88" s="6"/>
      <c r="B88" s="6"/>
      <c r="C88" s="6"/>
      <c r="D88" s="6"/>
    </row>
    <row r="89" ht="27.0" customHeight="1">
      <c r="A89" s="7" t="s">
        <v>154</v>
      </c>
    </row>
    <row r="90" ht="27.0" customHeight="1">
      <c r="A90" s="6" t="s">
        <v>19</v>
      </c>
      <c r="B90" s="6" t="s">
        <v>37</v>
      </c>
    </row>
    <row r="91" ht="27.0" customHeight="1">
      <c r="A91" s="6" t="s">
        <v>22</v>
      </c>
      <c r="B91" s="6" t="str">
        <f>'Настройки'!B17</f>
        <v>Концепция 4</v>
      </c>
    </row>
    <row r="92" ht="27.0" customHeight="1">
      <c r="A92" s="6" t="s">
        <v>32</v>
      </c>
      <c r="B92" s="10"/>
    </row>
    <row r="93" ht="27.0" customHeight="1">
      <c r="A93" s="6" t="s">
        <v>39</v>
      </c>
      <c r="B93" s="10"/>
    </row>
    <row r="94" ht="45.0" customHeight="1">
      <c r="A94" s="6" t="s">
        <v>43</v>
      </c>
      <c r="B94" s="10"/>
    </row>
    <row r="95" ht="27.0" customHeight="1">
      <c r="A95" s="6" t="s">
        <v>45</v>
      </c>
      <c r="B95" s="10"/>
    </row>
    <row r="96" ht="45.0" customHeight="1">
      <c r="A96" s="6" t="s">
        <v>49</v>
      </c>
      <c r="B96" s="10"/>
    </row>
    <row r="97" ht="45.0" customHeight="1">
      <c r="A97" s="6" t="s">
        <v>51</v>
      </c>
      <c r="B97" s="10"/>
    </row>
    <row r="98" ht="45.0" customHeight="1">
      <c r="A98" s="6" t="s">
        <v>55</v>
      </c>
      <c r="B98" s="10"/>
    </row>
    <row r="99" ht="27.0" customHeight="1">
      <c r="A99" s="6" t="s">
        <v>58</v>
      </c>
      <c r="B99" s="10" t="s">
        <v>153</v>
      </c>
    </row>
    <row r="100" ht="27.0" customHeight="1">
      <c r="A100" s="7" t="s">
        <v>62</v>
      </c>
      <c r="B100" s="7" t="s">
        <v>63</v>
      </c>
      <c r="C100" s="7" t="s">
        <v>66</v>
      </c>
      <c r="D100" s="7" t="s">
        <v>68</v>
      </c>
    </row>
    <row r="101" ht="45.0" customHeight="1">
      <c r="A101" s="6">
        <v>1.0</v>
      </c>
      <c r="B101" s="10"/>
      <c r="C101" s="10"/>
      <c r="D101" s="10"/>
    </row>
    <row r="102" ht="45.0" customHeight="1">
      <c r="A102" s="6">
        <v>2.0</v>
      </c>
      <c r="B102" s="10"/>
      <c r="C102" s="10"/>
      <c r="D102" s="10"/>
    </row>
    <row r="103" ht="45.0" customHeight="1">
      <c r="A103" s="6">
        <v>3.0</v>
      </c>
      <c r="B103" s="10"/>
      <c r="C103" s="10"/>
      <c r="D103" s="10"/>
    </row>
    <row r="104" ht="45.0" customHeight="1">
      <c r="A104" s="6">
        <v>4.0</v>
      </c>
      <c r="B104" s="10"/>
      <c r="C104" s="10"/>
      <c r="D104" s="10"/>
    </row>
    <row r="105" ht="45.0" customHeight="1">
      <c r="A105" s="6">
        <v>5.0</v>
      </c>
      <c r="B105" s="10"/>
      <c r="C105" s="10"/>
      <c r="D105" s="10"/>
    </row>
    <row r="106" ht="45.0" customHeight="1">
      <c r="A106" s="6">
        <v>6.0</v>
      </c>
      <c r="B106" s="10"/>
      <c r="C106" s="10"/>
      <c r="D106" s="10"/>
    </row>
    <row r="107" ht="45.0" customHeight="1">
      <c r="A107" s="6">
        <v>7.0</v>
      </c>
      <c r="B107" s="10"/>
      <c r="C107" s="10"/>
      <c r="D107" s="10"/>
    </row>
    <row r="108" ht="45.0" customHeight="1">
      <c r="A108" s="6">
        <v>8.0</v>
      </c>
      <c r="B108" s="10"/>
      <c r="C108" s="10"/>
      <c r="D108" s="10"/>
    </row>
    <row r="109" ht="45.0" customHeight="1">
      <c r="A109" s="6">
        <v>9.0</v>
      </c>
      <c r="B109" s="10"/>
      <c r="C109" s="10"/>
      <c r="D109" s="10"/>
    </row>
    <row r="110" ht="45.0" customHeight="1">
      <c r="A110" s="6">
        <v>10.0</v>
      </c>
      <c r="B110" s="10"/>
      <c r="C110" s="10"/>
      <c r="D110" s="10"/>
    </row>
    <row r="111" ht="45.0" customHeight="1">
      <c r="A111" s="6">
        <v>11.0</v>
      </c>
      <c r="B111" s="10"/>
      <c r="C111" s="10"/>
      <c r="D111" s="10"/>
    </row>
    <row r="112" ht="45.0" customHeight="1">
      <c r="A112" s="6">
        <v>12.0</v>
      </c>
      <c r="B112" s="10"/>
      <c r="C112" s="10"/>
      <c r="D112" s="10"/>
    </row>
    <row r="113" ht="45.0" customHeight="1">
      <c r="A113" s="6">
        <v>13.0</v>
      </c>
      <c r="B113" s="10"/>
      <c r="C113" s="10"/>
      <c r="D113" s="10"/>
    </row>
    <row r="114" ht="45.0" customHeight="1">
      <c r="A114" s="6">
        <v>14.0</v>
      </c>
      <c r="B114" s="10"/>
      <c r="C114" s="10"/>
      <c r="D114" s="10"/>
    </row>
    <row r="115" ht="45.0" customHeight="1">
      <c r="A115" s="6">
        <v>15.0</v>
      </c>
      <c r="B115" s="10"/>
      <c r="C115" s="10"/>
      <c r="D115" s="10"/>
    </row>
    <row r="116" ht="12.0" customHeight="1">
      <c r="A116" s="6"/>
      <c r="B116" s="6"/>
      <c r="C116" s="6"/>
      <c r="D116" s="6"/>
    </row>
  </sheetData>
  <mergeCells count="47">
    <mergeCell ref="A1:D1"/>
    <mergeCell ref="A2:D2"/>
    <mergeCell ref="A3:D3"/>
    <mergeCell ref="A5:D5"/>
    <mergeCell ref="B6:D6"/>
    <mergeCell ref="B7:D7"/>
    <mergeCell ref="B8:D8"/>
    <mergeCell ref="B9:D9"/>
    <mergeCell ref="B10:D10"/>
    <mergeCell ref="B11:D11"/>
    <mergeCell ref="B12:D12"/>
    <mergeCell ref="B13:D13"/>
    <mergeCell ref="B14:D14"/>
    <mergeCell ref="B15:D15"/>
    <mergeCell ref="A33:D33"/>
    <mergeCell ref="B34:D34"/>
    <mergeCell ref="B35:D35"/>
    <mergeCell ref="B36:D36"/>
    <mergeCell ref="B37:D37"/>
    <mergeCell ref="B38:D38"/>
    <mergeCell ref="B39:D39"/>
    <mergeCell ref="B40:D40"/>
    <mergeCell ref="B41:D41"/>
    <mergeCell ref="B42:D42"/>
    <mergeCell ref="B43:D43"/>
    <mergeCell ref="A61:D61"/>
    <mergeCell ref="B62:D62"/>
    <mergeCell ref="B63:D63"/>
    <mergeCell ref="B64:D64"/>
    <mergeCell ref="B65:D65"/>
    <mergeCell ref="B66:D66"/>
    <mergeCell ref="B67:D67"/>
    <mergeCell ref="B68:D68"/>
    <mergeCell ref="B69:D69"/>
    <mergeCell ref="B70:D70"/>
    <mergeCell ref="B95:D95"/>
    <mergeCell ref="B96:D96"/>
    <mergeCell ref="B97:D97"/>
    <mergeCell ref="B98:D98"/>
    <mergeCell ref="B99:D99"/>
    <mergeCell ref="B71:D71"/>
    <mergeCell ref="A89:D89"/>
    <mergeCell ref="B90:D90"/>
    <mergeCell ref="B91:D91"/>
    <mergeCell ref="B92:D92"/>
    <mergeCell ref="B93:D93"/>
    <mergeCell ref="B94:D9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5" width="17.25"/>
    <col customWidth="1" min="6" max="8" width="12.0"/>
    <col customWidth="1" min="9" max="26" width="8.63"/>
  </cols>
  <sheetData>
    <row r="1" ht="22.5" customHeight="1">
      <c r="A1" s="1"/>
      <c r="B1" s="1"/>
      <c r="C1" s="1"/>
      <c r="D1" s="1"/>
      <c r="E1" s="1"/>
      <c r="F1" s="1"/>
      <c r="G1" s="1"/>
      <c r="H1" s="1"/>
    </row>
    <row r="2" ht="31.5" customHeight="1">
      <c r="A2" s="2" t="s">
        <v>2</v>
      </c>
      <c r="B2" s="1"/>
      <c r="C2" s="1"/>
      <c r="D2" s="1"/>
      <c r="E2" s="1"/>
      <c r="F2" s="1"/>
      <c r="G2" s="1"/>
      <c r="H2" s="1"/>
    </row>
    <row r="3" ht="22.5" customHeight="1">
      <c r="A3" s="1"/>
      <c r="B3" s="1"/>
      <c r="C3" s="1"/>
      <c r="D3" s="1"/>
      <c r="E3" s="1"/>
      <c r="F3" s="1"/>
      <c r="G3" s="1"/>
      <c r="H3" s="1"/>
    </row>
    <row r="4" ht="22.5" customHeight="1">
      <c r="A4" s="1" t="s">
        <v>4</v>
      </c>
      <c r="B4" s="1" t="str">
        <f>'Настройки'!B7</f>
        <v>Кветкин Дмитрий Евгеньевич</v>
      </c>
      <c r="C4" s="1"/>
      <c r="D4" s="1"/>
      <c r="E4" s="1"/>
      <c r="F4" s="1"/>
      <c r="G4" s="1"/>
      <c r="H4" s="1"/>
    </row>
    <row r="5" ht="22.5" customHeight="1">
      <c r="A5" s="1" t="s">
        <v>21</v>
      </c>
      <c r="B5" s="1"/>
      <c r="C5" s="1"/>
      <c r="D5" s="1"/>
      <c r="E5" s="1"/>
      <c r="F5" s="1"/>
      <c r="G5" s="1"/>
      <c r="H5" s="1"/>
    </row>
    <row r="6" ht="22.5" customHeight="1">
      <c r="A6" s="1"/>
      <c r="B6" s="1"/>
      <c r="C6" s="1"/>
      <c r="D6" s="1"/>
      <c r="E6" s="1"/>
      <c r="F6" s="1"/>
      <c r="G6" s="1"/>
      <c r="H6" s="1"/>
    </row>
    <row r="7" ht="36.0" customHeight="1">
      <c r="A7" s="3" t="s">
        <v>23</v>
      </c>
      <c r="B7" s="3" t="s">
        <v>25</v>
      </c>
      <c r="C7" s="1"/>
      <c r="D7" s="1"/>
      <c r="E7" s="1"/>
      <c r="F7" s="1"/>
      <c r="G7" s="1"/>
      <c r="H7" s="1"/>
    </row>
    <row r="8" ht="22.5" customHeight="1">
      <c r="A8" s="1" t="str">
        <f>'Настройки'!B21</f>
        <v>Практическая полезность</v>
      </c>
      <c r="B8" s="12"/>
      <c r="C8" s="1"/>
      <c r="D8" s="1"/>
      <c r="E8" s="1"/>
      <c r="F8" s="1"/>
      <c r="G8" s="1"/>
      <c r="H8" s="1"/>
    </row>
    <row r="9" ht="22.5" customHeight="1">
      <c r="A9" s="1" t="str">
        <f>'Настройки'!B22</f>
        <v>Простота реализации</v>
      </c>
      <c r="B9" s="12"/>
      <c r="C9" s="1"/>
      <c r="D9" s="1"/>
      <c r="E9" s="1"/>
      <c r="F9" s="1"/>
      <c r="G9" s="1"/>
      <c r="H9" s="1"/>
    </row>
    <row r="10" ht="22.5" customHeight="1">
      <c r="A10" s="1" t="str">
        <f>'Настройки'!B23</f>
        <v>Удобство оценки и планирования</v>
      </c>
      <c r="B10" s="12"/>
      <c r="C10" s="1"/>
      <c r="D10" s="1"/>
      <c r="E10" s="1"/>
      <c r="F10" s="1"/>
      <c r="G10" s="1"/>
      <c r="H10" s="1"/>
    </row>
    <row r="11" ht="22.5" customHeight="1">
      <c r="A11" s="1" t="str">
        <f>'Настройки'!B24</f>
        <v>Интерес команды</v>
      </c>
      <c r="B11" s="12"/>
      <c r="C11" s="1"/>
      <c r="D11" s="1"/>
      <c r="E11" s="1"/>
      <c r="F11" s="1"/>
      <c r="G11" s="1"/>
      <c r="H11" s="1"/>
    </row>
    <row r="12" ht="22.5" customHeight="1">
      <c r="A12" s="1"/>
      <c r="B12" s="1"/>
      <c r="C12" s="1"/>
      <c r="D12" s="1"/>
      <c r="E12" s="1"/>
      <c r="F12" s="1"/>
      <c r="G12" s="1"/>
      <c r="H12" s="1"/>
    </row>
    <row r="13" ht="54.0" customHeight="1">
      <c r="A13" s="3" t="s">
        <v>105</v>
      </c>
      <c r="B13" s="3" t="str">
        <f>'Настройки'!B21</f>
        <v>Практическая полезность</v>
      </c>
      <c r="C13" s="3" t="str">
        <f>'Настройки'!B22</f>
        <v>Простота реализации</v>
      </c>
      <c r="D13" s="3" t="str">
        <f>'Настройки'!B23</f>
        <v>Удобство оценки и планирования</v>
      </c>
      <c r="E13" s="3" t="str">
        <f>'Настройки'!B24</f>
        <v>Интерес команды</v>
      </c>
      <c r="F13" s="1"/>
      <c r="G13" s="1"/>
      <c r="H13" s="1"/>
    </row>
    <row r="14" ht="22.5" customHeight="1">
      <c r="A14" s="1" t="str">
        <f>'Настройки'!B14</f>
        <v>Детейлинг-центр</v>
      </c>
      <c r="B14" s="12">
        <v>8.0</v>
      </c>
      <c r="C14" s="4">
        <v>7.0</v>
      </c>
      <c r="D14" s="12">
        <v>9.0</v>
      </c>
      <c r="E14" s="12">
        <v>9.0</v>
      </c>
      <c r="F14" s="1"/>
      <c r="G14" s="1"/>
      <c r="H14" s="1"/>
    </row>
    <row r="15" ht="22.5" customHeight="1">
      <c r="A15" s="1" t="str">
        <f>'Настройки'!B15</f>
        <v>Планировщик покупок</v>
      </c>
      <c r="B15" s="12"/>
      <c r="C15" s="12"/>
      <c r="D15" s="12"/>
      <c r="E15" s="12"/>
      <c r="F15" s="1"/>
      <c r="G15" s="1"/>
      <c r="H15" s="1"/>
    </row>
    <row r="16" ht="22.5" customHeight="1">
      <c r="A16" s="1" t="str">
        <f>'Настройки'!B16</f>
        <v>Концепция 3</v>
      </c>
      <c r="B16" s="12"/>
      <c r="C16" s="12"/>
      <c r="D16" s="12"/>
      <c r="E16" s="12"/>
      <c r="F16" s="1"/>
      <c r="G16" s="1"/>
      <c r="H16" s="1"/>
    </row>
    <row r="17" ht="22.5" customHeight="1">
      <c r="A17" s="1" t="str">
        <f>'Настройки'!B17</f>
        <v>Концепция 4</v>
      </c>
      <c r="B17" s="12"/>
      <c r="C17" s="12"/>
      <c r="D17" s="12"/>
      <c r="E17" s="12"/>
      <c r="F17" s="1"/>
      <c r="G17" s="1"/>
      <c r="H17" s="1"/>
    </row>
    <row r="18" ht="22.5" customHeight="1">
      <c r="A18" s="1"/>
      <c r="B18" s="1"/>
      <c r="C18" s="1"/>
      <c r="D18" s="1"/>
      <c r="E18" s="1"/>
      <c r="F18" s="1"/>
      <c r="G18" s="1"/>
      <c r="H18" s="1"/>
    </row>
    <row r="19" ht="22.5" customHeight="1">
      <c r="A19" s="1" t="s">
        <v>152</v>
      </c>
      <c r="B19" s="1">
        <f>COUNT(B8:B11,B14:E17)</f>
        <v>4</v>
      </c>
      <c r="C19" s="1"/>
      <c r="D19" s="1"/>
      <c r="E19" s="1"/>
      <c r="F19" s="1"/>
      <c r="G19" s="1"/>
      <c r="H19" s="1"/>
    </row>
    <row r="20" ht="22.5" customHeight="1">
      <c r="A20" s="1"/>
      <c r="B20" s="1"/>
      <c r="C20" s="1"/>
      <c r="D20" s="1"/>
      <c r="E20" s="1"/>
      <c r="F20" s="1"/>
      <c r="G20" s="1"/>
      <c r="H20" s="1"/>
    </row>
    <row r="21" ht="22.5" customHeight="1">
      <c r="A21" s="1" t="s">
        <v>155</v>
      </c>
      <c r="B21" s="1"/>
      <c r="C21" s="1"/>
      <c r="D21" s="1"/>
      <c r="E21" s="1"/>
      <c r="F21" s="1"/>
      <c r="G21" s="1"/>
      <c r="H21" s="1"/>
    </row>
    <row r="22" ht="22.5" customHeight="1">
      <c r="A22" s="1" t="s">
        <v>156</v>
      </c>
      <c r="B22" s="1"/>
      <c r="C22" s="1"/>
      <c r="D22" s="1"/>
      <c r="E22" s="1"/>
      <c r="F22" s="1"/>
      <c r="G22" s="1"/>
      <c r="H22" s="1"/>
    </row>
    <row r="23" ht="22.5" customHeight="1">
      <c r="A23" s="1"/>
      <c r="B23" s="1"/>
      <c r="C23" s="1"/>
      <c r="D23" s="1"/>
      <c r="E23" s="1"/>
      <c r="F23" s="1"/>
      <c r="G23" s="1"/>
      <c r="H23" s="1"/>
    </row>
    <row r="24" ht="22.5" customHeight="1">
      <c r="A24" s="13" t="s">
        <v>157</v>
      </c>
      <c r="B24" s="13"/>
      <c r="C24" s="13"/>
      <c r="D24" s="13"/>
      <c r="E24" s="13"/>
      <c r="F24" s="1"/>
      <c r="G24" s="1"/>
      <c r="H24" s="1"/>
    </row>
    <row r="25" ht="54.0" customHeight="1">
      <c r="A25" s="3" t="s">
        <v>158</v>
      </c>
      <c r="B25" s="3" t="str">
        <f>'Настройки'!B21</f>
        <v>Практическая полезность</v>
      </c>
      <c r="C25" s="3" t="str">
        <f>'Настройки'!B22</f>
        <v>Простота реализации</v>
      </c>
      <c r="D25" s="3" t="str">
        <f>'Настройки'!B23</f>
        <v>Удобство оценки и планирования</v>
      </c>
      <c r="E25" s="3" t="str">
        <f>'Настройки'!B24</f>
        <v>Интерес команды</v>
      </c>
      <c r="F25" s="1"/>
      <c r="G25" s="1"/>
      <c r="H25" s="1"/>
    </row>
    <row r="26" ht="36.0" customHeight="1">
      <c r="A26" s="13" t="str">
        <f>'Настройки'!B21</f>
        <v>Практическая полезность</v>
      </c>
      <c r="B26" s="13">
        <v>1.0</v>
      </c>
      <c r="C26" s="18"/>
      <c r="D26" s="18"/>
      <c r="E26" s="18"/>
      <c r="F26" s="1"/>
      <c r="G26" s="1"/>
      <c r="H26" s="1"/>
    </row>
    <row r="27" ht="36.0" customHeight="1">
      <c r="A27" s="13" t="str">
        <f>'Настройки'!B22</f>
        <v>Простота реализации</v>
      </c>
      <c r="B27" s="13" t="str">
        <f>IF(COUNT(C26)=0,"",1/C26)</f>
        <v/>
      </c>
      <c r="C27" s="13">
        <v>1.0</v>
      </c>
      <c r="D27" s="18"/>
      <c r="E27" s="18"/>
      <c r="F27" s="1"/>
      <c r="G27" s="1"/>
      <c r="H27" s="1"/>
    </row>
    <row r="28" ht="36.0" customHeight="1">
      <c r="A28" s="13" t="str">
        <f>'Настройки'!B23</f>
        <v>Удобство оценки и планирования</v>
      </c>
      <c r="B28" s="13" t="str">
        <f>IF(COUNT(D26)=0,"",1/D26)</f>
        <v/>
      </c>
      <c r="C28" s="13" t="str">
        <f>IF(COUNT(D27)=0,"",1/D27)</f>
        <v/>
      </c>
      <c r="D28" s="13">
        <v>1.0</v>
      </c>
      <c r="E28" s="18"/>
      <c r="F28" s="1"/>
      <c r="G28" s="1"/>
      <c r="H28" s="1"/>
    </row>
    <row r="29" ht="36.0" customHeight="1">
      <c r="A29" s="13" t="str">
        <f>'Настройки'!B24</f>
        <v>Интерес команды</v>
      </c>
      <c r="B29" s="13" t="str">
        <f>IF(COUNT(E26)=0,"",1/E26)</f>
        <v/>
      </c>
      <c r="C29" s="13" t="str">
        <f>IF(COUNT(E27)=0,"",1/E27)</f>
        <v/>
      </c>
      <c r="D29" s="13" t="str">
        <f>IF(COUNT(E28)=0,"",1/E28)</f>
        <v/>
      </c>
      <c r="E29" s="13">
        <v>1.0</v>
      </c>
      <c r="F29" s="1"/>
      <c r="G29" s="1"/>
      <c r="H29" s="1"/>
    </row>
    <row r="30" ht="22.5" customHeight="1">
      <c r="A30" s="13"/>
      <c r="B30" s="13"/>
      <c r="C30" s="13"/>
      <c r="D30" s="13"/>
      <c r="E30" s="13"/>
      <c r="F30" s="1"/>
      <c r="G30" s="1"/>
      <c r="H30" s="1"/>
    </row>
    <row r="31" ht="22.5" customHeight="1">
      <c r="A31" s="13" t="s">
        <v>160</v>
      </c>
      <c r="B31" s="19" t="str">
        <f>IF(COUNT('МАИ'!B98)=0,"",'МАИ'!B98)</f>
        <v/>
      </c>
      <c r="C31" s="13" t="str">
        <f>IF(COUNT(B31)=0,"Нет оценок",IF(B31&lt;='Настройки'!$B$31,"Согласовано","Пересмотреть"))</f>
        <v>Нет оценок</v>
      </c>
      <c r="D31" s="13"/>
      <c r="E31" s="13"/>
      <c r="F31" s="1"/>
      <c r="G31" s="1"/>
      <c r="H31" s="1"/>
    </row>
    <row r="32" ht="22.5" customHeight="1">
      <c r="A32" s="13"/>
      <c r="B32" s="13"/>
      <c r="C32" s="13"/>
      <c r="D32" s="13"/>
      <c r="E32" s="13"/>
      <c r="F32" s="1"/>
      <c r="G32" s="1"/>
      <c r="H32" s="1"/>
    </row>
    <row r="33" ht="22.5" customHeight="1">
      <c r="A33" s="13"/>
      <c r="B33" s="13"/>
      <c r="C33" s="13"/>
      <c r="D33" s="13"/>
      <c r="E33" s="13"/>
      <c r="F33" s="1"/>
      <c r="G33" s="1"/>
      <c r="H33" s="1"/>
    </row>
    <row r="34" ht="22.5" customHeight="1">
      <c r="A34" s="13"/>
      <c r="B34" s="13"/>
      <c r="C34" s="13"/>
      <c r="D34" s="13"/>
      <c r="E34" s="13"/>
      <c r="F34" s="1"/>
      <c r="G34" s="1"/>
      <c r="H34" s="1"/>
    </row>
    <row r="35" ht="22.5" customHeight="1">
      <c r="A35" s="13"/>
      <c r="B35" s="13"/>
      <c r="C35" s="13"/>
      <c r="D35" s="13"/>
      <c r="E35" s="13"/>
      <c r="F35" s="1"/>
      <c r="G35" s="1"/>
      <c r="H35" s="1"/>
    </row>
    <row r="36" ht="22.5" customHeight="1">
      <c r="A36" s="13" t="s">
        <v>161</v>
      </c>
      <c r="B36" s="13" t="str">
        <f>'Настройки'!B21</f>
        <v>Практическая полезность</v>
      </c>
      <c r="C36" s="13"/>
      <c r="D36" s="13"/>
      <c r="E36" s="13"/>
      <c r="F36" s="1"/>
      <c r="G36" s="1"/>
      <c r="H36" s="1"/>
    </row>
    <row r="37" ht="54.0" customHeight="1">
      <c r="A37" s="3" t="s">
        <v>158</v>
      </c>
      <c r="B37" s="3" t="str">
        <f>'Настройки'!B14</f>
        <v>Детейлинг-центр</v>
      </c>
      <c r="C37" s="3" t="str">
        <f>'Настройки'!B15</f>
        <v>Планировщик покупок</v>
      </c>
      <c r="D37" s="3" t="str">
        <f>'Настройки'!B16</f>
        <v>Концепция 3</v>
      </c>
      <c r="E37" s="3" t="str">
        <f>'Настройки'!B17</f>
        <v>Концепция 4</v>
      </c>
      <c r="F37" s="1"/>
      <c r="G37" s="1"/>
      <c r="H37" s="1"/>
    </row>
    <row r="38" ht="36.0" customHeight="1">
      <c r="A38" s="13" t="str">
        <f>'Настройки'!B14</f>
        <v>Детейлинг-центр</v>
      </c>
      <c r="B38" s="13">
        <v>1.0</v>
      </c>
      <c r="C38" s="18"/>
      <c r="D38" s="18"/>
      <c r="E38" s="18"/>
      <c r="F38" s="1"/>
      <c r="G38" s="1"/>
      <c r="H38" s="1"/>
    </row>
    <row r="39" ht="36.0" customHeight="1">
      <c r="A39" s="13" t="str">
        <f>'Настройки'!B15</f>
        <v>Планировщик покупок</v>
      </c>
      <c r="B39" s="13" t="str">
        <f>IF(COUNT(C38)=0,"",1/C38)</f>
        <v/>
      </c>
      <c r="C39" s="13">
        <v>1.0</v>
      </c>
      <c r="D39" s="18"/>
      <c r="E39" s="18"/>
      <c r="F39" s="1"/>
      <c r="G39" s="1"/>
      <c r="H39" s="1"/>
    </row>
    <row r="40" ht="36.0" customHeight="1">
      <c r="A40" s="13" t="str">
        <f>'Настройки'!B16</f>
        <v>Концепция 3</v>
      </c>
      <c r="B40" s="13" t="str">
        <f>IF(COUNT(D38)=0,"",1/D38)</f>
        <v/>
      </c>
      <c r="C40" s="13" t="str">
        <f>IF(COUNT(D39)=0,"",1/D39)</f>
        <v/>
      </c>
      <c r="D40" s="13">
        <v>1.0</v>
      </c>
      <c r="E40" s="18"/>
      <c r="F40" s="1"/>
      <c r="G40" s="1"/>
      <c r="H40" s="1"/>
    </row>
    <row r="41" ht="36.0" customHeight="1">
      <c r="A41" s="13" t="str">
        <f>'Настройки'!B17</f>
        <v>Концепция 4</v>
      </c>
      <c r="B41" s="13" t="str">
        <f>IF(COUNT(E38)=0,"",1/E38)</f>
        <v/>
      </c>
      <c r="C41" s="13" t="str">
        <f>IF(COUNT(E39)=0,"",1/E39)</f>
        <v/>
      </c>
      <c r="D41" s="13" t="str">
        <f>IF(COUNT(E40)=0,"",1/E40)</f>
        <v/>
      </c>
      <c r="E41" s="13">
        <v>1.0</v>
      </c>
      <c r="F41" s="1"/>
      <c r="G41" s="1"/>
      <c r="H41" s="1"/>
    </row>
    <row r="42" ht="22.5" customHeight="1">
      <c r="A42" s="13"/>
      <c r="B42" s="13"/>
      <c r="C42" s="13"/>
      <c r="D42" s="13"/>
      <c r="E42" s="13"/>
      <c r="F42" s="1"/>
      <c r="G42" s="1"/>
      <c r="H42" s="1"/>
    </row>
    <row r="43" ht="22.5" customHeight="1">
      <c r="A43" s="13" t="s">
        <v>160</v>
      </c>
      <c r="B43" s="19" t="str">
        <f>IF(COUNT('МАИ'!B112)=0,"",'МАИ'!B112)</f>
        <v/>
      </c>
      <c r="C43" s="13" t="str">
        <f>IF(COUNT(B43)=0,"Нет оценок",IF(B43&lt;='Настройки'!$B$31,"Согласовано","Пересмотреть"))</f>
        <v>Нет оценок</v>
      </c>
      <c r="D43" s="13"/>
      <c r="E43" s="13"/>
      <c r="F43" s="1"/>
      <c r="G43" s="1"/>
      <c r="H43" s="1"/>
    </row>
    <row r="44" ht="22.5" customHeight="1">
      <c r="A44" s="13"/>
      <c r="B44" s="13"/>
      <c r="C44" s="13"/>
      <c r="D44" s="13"/>
      <c r="E44" s="13"/>
      <c r="F44" s="1"/>
      <c r="G44" s="1"/>
      <c r="H44" s="1"/>
    </row>
    <row r="45" ht="22.5" customHeight="1">
      <c r="A45" s="13"/>
      <c r="B45" s="13"/>
      <c r="C45" s="13"/>
      <c r="D45" s="13"/>
      <c r="E45" s="13"/>
      <c r="F45" s="1"/>
      <c r="G45" s="1"/>
      <c r="H45" s="1"/>
    </row>
    <row r="46" ht="22.5" customHeight="1">
      <c r="A46" s="13"/>
      <c r="B46" s="13"/>
      <c r="C46" s="13"/>
      <c r="D46" s="13"/>
      <c r="E46" s="13"/>
      <c r="F46" s="1"/>
      <c r="G46" s="1"/>
      <c r="H46" s="1"/>
    </row>
    <row r="47" ht="22.5" customHeight="1">
      <c r="A47" s="13"/>
      <c r="B47" s="13"/>
      <c r="C47" s="13"/>
      <c r="D47" s="13"/>
      <c r="E47" s="13"/>
      <c r="F47" s="1"/>
      <c r="G47" s="1"/>
      <c r="H47" s="1"/>
    </row>
    <row r="48" ht="22.5" customHeight="1">
      <c r="A48" s="13" t="s">
        <v>163</v>
      </c>
      <c r="B48" s="13" t="str">
        <f>'Настройки'!B22</f>
        <v>Простота реализации</v>
      </c>
      <c r="C48" s="13"/>
      <c r="D48" s="13"/>
      <c r="E48" s="13"/>
      <c r="F48" s="1"/>
      <c r="G48" s="1"/>
      <c r="H48" s="1"/>
    </row>
    <row r="49" ht="54.0" customHeight="1">
      <c r="A49" s="3" t="s">
        <v>158</v>
      </c>
      <c r="B49" s="3" t="str">
        <f>'Настройки'!B14</f>
        <v>Детейлинг-центр</v>
      </c>
      <c r="C49" s="3" t="str">
        <f>'Настройки'!B15</f>
        <v>Планировщик покупок</v>
      </c>
      <c r="D49" s="3" t="str">
        <f>'Настройки'!B16</f>
        <v>Концепция 3</v>
      </c>
      <c r="E49" s="3" t="str">
        <f>'Настройки'!B17</f>
        <v>Концепция 4</v>
      </c>
      <c r="F49" s="1"/>
      <c r="G49" s="1"/>
      <c r="H49" s="1"/>
    </row>
    <row r="50" ht="36.0" customHeight="1">
      <c r="A50" s="13" t="str">
        <f>'Настройки'!B14</f>
        <v>Детейлинг-центр</v>
      </c>
      <c r="B50" s="13">
        <v>1.0</v>
      </c>
      <c r="C50" s="18"/>
      <c r="D50" s="18"/>
      <c r="E50" s="18"/>
      <c r="F50" s="1"/>
      <c r="G50" s="1"/>
      <c r="H50" s="1"/>
    </row>
    <row r="51" ht="36.0" customHeight="1">
      <c r="A51" s="13" t="str">
        <f>'Настройки'!B15</f>
        <v>Планировщик покупок</v>
      </c>
      <c r="B51" s="13" t="str">
        <f>IF(COUNT(C50)=0,"",1/C50)</f>
        <v/>
      </c>
      <c r="C51" s="13">
        <v>1.0</v>
      </c>
      <c r="D51" s="18"/>
      <c r="E51" s="18"/>
      <c r="F51" s="1"/>
      <c r="G51" s="1"/>
      <c r="H51" s="1"/>
    </row>
    <row r="52" ht="36.0" customHeight="1">
      <c r="A52" s="13" t="str">
        <f>'Настройки'!B16</f>
        <v>Концепция 3</v>
      </c>
      <c r="B52" s="13" t="str">
        <f>IF(COUNT(D50)=0,"",1/D50)</f>
        <v/>
      </c>
      <c r="C52" s="13" t="str">
        <f>IF(COUNT(D51)=0,"",1/D51)</f>
        <v/>
      </c>
      <c r="D52" s="13">
        <v>1.0</v>
      </c>
      <c r="E52" s="18"/>
      <c r="F52" s="1"/>
      <c r="G52" s="1"/>
      <c r="H52" s="1"/>
    </row>
    <row r="53" ht="36.0" customHeight="1">
      <c r="A53" s="13" t="str">
        <f>'Настройки'!B17</f>
        <v>Концепция 4</v>
      </c>
      <c r="B53" s="13" t="str">
        <f>IF(COUNT(E50)=0,"",1/E50)</f>
        <v/>
      </c>
      <c r="C53" s="13" t="str">
        <f>IF(COUNT(E51)=0,"",1/E51)</f>
        <v/>
      </c>
      <c r="D53" s="13" t="str">
        <f>IF(COUNT(E52)=0,"",1/E52)</f>
        <v/>
      </c>
      <c r="E53" s="13">
        <v>1.0</v>
      </c>
      <c r="F53" s="1"/>
      <c r="G53" s="1"/>
      <c r="H53" s="1"/>
    </row>
    <row r="54" ht="22.5" customHeight="1">
      <c r="A54" s="13"/>
      <c r="B54" s="13"/>
      <c r="C54" s="13"/>
      <c r="D54" s="13"/>
      <c r="E54" s="13"/>
      <c r="F54" s="1"/>
      <c r="G54" s="1"/>
      <c r="H54" s="1"/>
    </row>
    <row r="55" ht="22.5" customHeight="1">
      <c r="A55" s="13" t="s">
        <v>160</v>
      </c>
      <c r="B55" s="19" t="str">
        <f>IF(COUNT('МАИ'!B126)=0,"",'МАИ'!B126)</f>
        <v/>
      </c>
      <c r="C55" s="13" t="str">
        <f>IF(COUNT(B55)=0,"Нет оценок",IF(B55&lt;='Настройки'!$B$31,"Согласовано","Пересмотреть"))</f>
        <v>Нет оценок</v>
      </c>
      <c r="D55" s="13"/>
      <c r="E55" s="13"/>
      <c r="F55" s="1"/>
      <c r="G55" s="1"/>
      <c r="H55" s="1"/>
    </row>
    <row r="56" ht="22.5" customHeight="1">
      <c r="A56" s="13"/>
      <c r="B56" s="13"/>
      <c r="C56" s="13"/>
      <c r="D56" s="13"/>
      <c r="E56" s="13"/>
      <c r="F56" s="1"/>
      <c r="G56" s="1"/>
      <c r="H56" s="1"/>
    </row>
    <row r="57" ht="22.5" customHeight="1">
      <c r="A57" s="13"/>
      <c r="B57" s="13"/>
      <c r="C57" s="13"/>
      <c r="D57" s="13"/>
      <c r="E57" s="13"/>
      <c r="F57" s="1"/>
      <c r="G57" s="1"/>
      <c r="H57" s="1"/>
    </row>
    <row r="58" ht="22.5" customHeight="1">
      <c r="A58" s="13"/>
      <c r="B58" s="13"/>
      <c r="C58" s="13"/>
      <c r="D58" s="13"/>
      <c r="E58" s="13"/>
      <c r="F58" s="1"/>
      <c r="G58" s="1"/>
      <c r="H58" s="1"/>
    </row>
    <row r="59" ht="22.5" customHeight="1">
      <c r="A59" s="13"/>
      <c r="B59" s="13"/>
      <c r="C59" s="13"/>
      <c r="D59" s="13"/>
      <c r="E59" s="13"/>
      <c r="F59" s="1"/>
      <c r="G59" s="1"/>
      <c r="H59" s="1"/>
    </row>
    <row r="60" ht="22.5" customHeight="1">
      <c r="A60" s="13" t="s">
        <v>164</v>
      </c>
      <c r="B60" s="13" t="str">
        <f>'Настройки'!B23</f>
        <v>Удобство оценки и планирования</v>
      </c>
      <c r="C60" s="13"/>
      <c r="D60" s="13"/>
      <c r="E60" s="13"/>
      <c r="F60" s="1"/>
      <c r="G60" s="1"/>
      <c r="H60" s="1"/>
    </row>
    <row r="61" ht="54.0" customHeight="1">
      <c r="A61" s="3" t="s">
        <v>158</v>
      </c>
      <c r="B61" s="3" t="str">
        <f>'Настройки'!B14</f>
        <v>Детейлинг-центр</v>
      </c>
      <c r="C61" s="3" t="str">
        <f>'Настройки'!B15</f>
        <v>Планировщик покупок</v>
      </c>
      <c r="D61" s="3" t="str">
        <f>'Настройки'!B16</f>
        <v>Концепция 3</v>
      </c>
      <c r="E61" s="3" t="str">
        <f>'Настройки'!B17</f>
        <v>Концепция 4</v>
      </c>
      <c r="F61" s="1"/>
      <c r="G61" s="1"/>
      <c r="H61" s="1"/>
    </row>
    <row r="62" ht="36.0" customHeight="1">
      <c r="A62" s="13" t="str">
        <f>'Настройки'!B14</f>
        <v>Детейлинг-центр</v>
      </c>
      <c r="B62" s="13">
        <v>1.0</v>
      </c>
      <c r="C62" s="18"/>
      <c r="D62" s="18"/>
      <c r="E62" s="18"/>
      <c r="F62" s="1"/>
      <c r="G62" s="1"/>
      <c r="H62" s="1"/>
    </row>
    <row r="63" ht="36.0" customHeight="1">
      <c r="A63" s="13" t="str">
        <f>'Настройки'!B15</f>
        <v>Планировщик покупок</v>
      </c>
      <c r="B63" s="13" t="str">
        <f>IF(COUNT(C62)=0,"",1/C62)</f>
        <v/>
      </c>
      <c r="C63" s="13">
        <v>1.0</v>
      </c>
      <c r="D63" s="18"/>
      <c r="E63" s="18"/>
      <c r="F63" s="1"/>
      <c r="G63" s="1"/>
      <c r="H63" s="1"/>
    </row>
    <row r="64" ht="36.0" customHeight="1">
      <c r="A64" s="13" t="str">
        <f>'Настройки'!B16</f>
        <v>Концепция 3</v>
      </c>
      <c r="B64" s="13" t="str">
        <f>IF(COUNT(D62)=0,"",1/D62)</f>
        <v/>
      </c>
      <c r="C64" s="13" t="str">
        <f>IF(COUNT(D63)=0,"",1/D63)</f>
        <v/>
      </c>
      <c r="D64" s="13">
        <v>1.0</v>
      </c>
      <c r="E64" s="18"/>
      <c r="F64" s="1"/>
      <c r="G64" s="1"/>
      <c r="H64" s="1"/>
    </row>
    <row r="65" ht="36.0" customHeight="1">
      <c r="A65" s="13" t="str">
        <f>'Настройки'!B17</f>
        <v>Концепция 4</v>
      </c>
      <c r="B65" s="13" t="str">
        <f>IF(COUNT(E62)=0,"",1/E62)</f>
        <v/>
      </c>
      <c r="C65" s="13" t="str">
        <f>IF(COUNT(E63)=0,"",1/E63)</f>
        <v/>
      </c>
      <c r="D65" s="13" t="str">
        <f>IF(COUNT(E64)=0,"",1/E64)</f>
        <v/>
      </c>
      <c r="E65" s="13">
        <v>1.0</v>
      </c>
      <c r="F65" s="1"/>
      <c r="G65" s="1"/>
      <c r="H65" s="1"/>
    </row>
    <row r="66" ht="22.5" customHeight="1">
      <c r="A66" s="13"/>
      <c r="B66" s="13"/>
      <c r="C66" s="13"/>
      <c r="D66" s="13"/>
      <c r="E66" s="13"/>
      <c r="F66" s="1"/>
      <c r="G66" s="1"/>
      <c r="H66" s="1"/>
    </row>
    <row r="67" ht="22.5" customHeight="1">
      <c r="A67" s="13" t="s">
        <v>160</v>
      </c>
      <c r="B67" s="19" t="str">
        <f>IF(COUNT('МАИ'!B140)=0,"",'МАИ'!B140)</f>
        <v/>
      </c>
      <c r="C67" s="13" t="str">
        <f>IF(COUNT(B67)=0,"Нет оценок",IF(B67&lt;='Настройки'!$B$31,"Согласовано","Пересмотреть"))</f>
        <v>Нет оценок</v>
      </c>
      <c r="D67" s="13"/>
      <c r="E67" s="13"/>
      <c r="F67" s="1"/>
      <c r="G67" s="1"/>
      <c r="H67" s="1"/>
    </row>
    <row r="68" ht="22.5" customHeight="1">
      <c r="A68" s="13"/>
      <c r="B68" s="13"/>
      <c r="C68" s="13"/>
      <c r="D68" s="13"/>
      <c r="E68" s="13"/>
      <c r="F68" s="1"/>
      <c r="G68" s="1"/>
      <c r="H68" s="1"/>
    </row>
    <row r="69" ht="22.5" customHeight="1">
      <c r="A69" s="13"/>
      <c r="B69" s="13"/>
      <c r="C69" s="13"/>
      <c r="D69" s="13"/>
      <c r="E69" s="13"/>
      <c r="F69" s="1"/>
      <c r="G69" s="1"/>
      <c r="H69" s="1"/>
    </row>
    <row r="70" ht="22.5" customHeight="1">
      <c r="A70" s="13"/>
      <c r="B70" s="13"/>
      <c r="C70" s="13"/>
      <c r="D70" s="13"/>
      <c r="E70" s="13"/>
      <c r="F70" s="1"/>
      <c r="G70" s="1"/>
      <c r="H70" s="1"/>
    </row>
    <row r="71" ht="22.5" customHeight="1">
      <c r="A71" s="13"/>
      <c r="B71" s="13"/>
      <c r="C71" s="13"/>
      <c r="D71" s="13"/>
      <c r="E71" s="13"/>
      <c r="F71" s="1"/>
      <c r="G71" s="1"/>
      <c r="H71" s="1"/>
    </row>
    <row r="72" ht="22.5" customHeight="1">
      <c r="A72" s="13" t="s">
        <v>165</v>
      </c>
      <c r="B72" s="13" t="str">
        <f>'Настройки'!B24</f>
        <v>Интерес команды</v>
      </c>
      <c r="C72" s="13"/>
      <c r="D72" s="13"/>
      <c r="E72" s="13"/>
      <c r="F72" s="1"/>
      <c r="G72" s="1"/>
      <c r="H72" s="1"/>
    </row>
    <row r="73" ht="54.0" customHeight="1">
      <c r="A73" s="3" t="s">
        <v>158</v>
      </c>
      <c r="B73" s="3" t="str">
        <f>'Настройки'!B14</f>
        <v>Детейлинг-центр</v>
      </c>
      <c r="C73" s="3" t="str">
        <f>'Настройки'!B15</f>
        <v>Планировщик покупок</v>
      </c>
      <c r="D73" s="3" t="str">
        <f>'Настройки'!B16</f>
        <v>Концепция 3</v>
      </c>
      <c r="E73" s="3" t="str">
        <f>'Настройки'!B17</f>
        <v>Концепция 4</v>
      </c>
      <c r="F73" s="1"/>
      <c r="G73" s="1"/>
      <c r="H73" s="1"/>
    </row>
    <row r="74" ht="36.0" customHeight="1">
      <c r="A74" s="13" t="str">
        <f>'Настройки'!B14</f>
        <v>Детейлинг-центр</v>
      </c>
      <c r="B74" s="13">
        <v>1.0</v>
      </c>
      <c r="C74" s="18"/>
      <c r="D74" s="18"/>
      <c r="E74" s="18"/>
      <c r="F74" s="1"/>
      <c r="G74" s="1"/>
      <c r="H74" s="1"/>
    </row>
    <row r="75" ht="36.0" customHeight="1">
      <c r="A75" s="13" t="str">
        <f>'Настройки'!B15</f>
        <v>Планировщик покупок</v>
      </c>
      <c r="B75" s="13" t="str">
        <f>IF(COUNT(C74)=0,"",1/C74)</f>
        <v/>
      </c>
      <c r="C75" s="13">
        <v>1.0</v>
      </c>
      <c r="D75" s="18"/>
      <c r="E75" s="18"/>
      <c r="F75" s="1"/>
      <c r="G75" s="1"/>
      <c r="H75" s="1"/>
    </row>
    <row r="76" ht="36.0" customHeight="1">
      <c r="A76" s="13" t="str">
        <f>'Настройки'!B16</f>
        <v>Концепция 3</v>
      </c>
      <c r="B76" s="13" t="str">
        <f>IF(COUNT(D74)=0,"",1/D74)</f>
        <v/>
      </c>
      <c r="C76" s="13" t="str">
        <f>IF(COUNT(D75)=0,"",1/D75)</f>
        <v/>
      </c>
      <c r="D76" s="13">
        <v>1.0</v>
      </c>
      <c r="E76" s="18"/>
      <c r="F76" s="1"/>
      <c r="G76" s="1"/>
      <c r="H76" s="1"/>
    </row>
    <row r="77" ht="36.0" customHeight="1">
      <c r="A77" s="13" t="str">
        <f>'Настройки'!B17</f>
        <v>Концепция 4</v>
      </c>
      <c r="B77" s="13" t="str">
        <f>IF(COUNT(E74)=0,"",1/E74)</f>
        <v/>
      </c>
      <c r="C77" s="13" t="str">
        <f>IF(COUNT(E75)=0,"",1/E75)</f>
        <v/>
      </c>
      <c r="D77" s="13" t="str">
        <f>IF(COUNT(E76)=0,"",1/E76)</f>
        <v/>
      </c>
      <c r="E77" s="13">
        <v>1.0</v>
      </c>
      <c r="F77" s="1"/>
      <c r="G77" s="1"/>
      <c r="H77" s="1"/>
    </row>
    <row r="78" ht="22.5" customHeight="1">
      <c r="A78" s="13"/>
      <c r="B78" s="13"/>
      <c r="C78" s="13"/>
      <c r="D78" s="13"/>
      <c r="E78" s="13"/>
      <c r="F78" s="1"/>
      <c r="G78" s="1"/>
      <c r="H78" s="1"/>
    </row>
    <row r="79" ht="22.5" customHeight="1">
      <c r="A79" s="13" t="s">
        <v>160</v>
      </c>
      <c r="B79" s="19" t="str">
        <f>IF(COUNT('МАИ'!B154)=0,"",'МАИ'!B154)</f>
        <v/>
      </c>
      <c r="C79" s="13" t="str">
        <f>IF(COUNT(B79)=0,"Нет оценок",IF(B79&lt;='Настройки'!$B$31,"Согласовано","Пересмотреть"))</f>
        <v>Нет оценок</v>
      </c>
      <c r="D79" s="13"/>
      <c r="E79" s="13"/>
      <c r="F79" s="1"/>
      <c r="G79" s="1"/>
      <c r="H79" s="1"/>
    </row>
    <row r="80" ht="22.5" customHeight="1">
      <c r="A80" s="13"/>
      <c r="B80" s="13"/>
      <c r="C80" s="13"/>
      <c r="D80" s="13"/>
      <c r="E80" s="13"/>
      <c r="F80" s="1"/>
      <c r="G80" s="1"/>
      <c r="H80" s="1"/>
    </row>
    <row r="81" ht="22.5" customHeight="1">
      <c r="A81" s="13"/>
      <c r="B81" s="13"/>
      <c r="C81" s="13"/>
      <c r="D81" s="13"/>
      <c r="E81" s="13"/>
      <c r="F81" s="1"/>
      <c r="G81" s="1"/>
      <c r="H81" s="1"/>
    </row>
    <row r="82" ht="22.5" customHeight="1">
      <c r="A82" s="13"/>
      <c r="B82" s="13"/>
      <c r="C82" s="13"/>
      <c r="D82" s="13"/>
      <c r="E82" s="13"/>
      <c r="F82" s="1"/>
      <c r="G82" s="1"/>
      <c r="H82" s="1"/>
    </row>
    <row r="83" ht="22.5" customHeight="1">
      <c r="A83" s="13"/>
      <c r="B83" s="13"/>
      <c r="C83" s="13"/>
      <c r="D83" s="13"/>
      <c r="E83" s="13"/>
      <c r="F83" s="1"/>
      <c r="G83" s="1"/>
      <c r="H83" s="1"/>
    </row>
    <row r="84" ht="22.5" customHeight="1">
      <c r="A84" s="1"/>
      <c r="B84" s="1"/>
      <c r="C84" s="1"/>
      <c r="D84" s="1"/>
      <c r="E84" s="1"/>
      <c r="F84" s="1"/>
      <c r="G84" s="1"/>
      <c r="H84" s="1"/>
    </row>
    <row r="85" ht="22.5" customHeight="1">
      <c r="A85" s="1"/>
      <c r="B85" s="1"/>
      <c r="C85" s="1"/>
      <c r="D85" s="1"/>
      <c r="E85" s="1"/>
      <c r="F85" s="1"/>
      <c r="G85" s="1"/>
      <c r="H85" s="1"/>
    </row>
    <row r="86" ht="22.5" customHeight="1">
      <c r="A86" s="1"/>
      <c r="B86" s="1"/>
      <c r="C86" s="1"/>
      <c r="D86" s="1"/>
      <c r="E86" s="1"/>
      <c r="F86" s="1"/>
      <c r="G86" s="1"/>
      <c r="H86" s="1"/>
    </row>
    <row r="87" ht="22.5" customHeight="1">
      <c r="A87" s="1"/>
      <c r="B87" s="1"/>
      <c r="C87" s="1"/>
      <c r="D87" s="1"/>
      <c r="E87" s="1"/>
      <c r="F87" s="1"/>
      <c r="G87" s="1"/>
      <c r="H87" s="1"/>
    </row>
    <row r="88" ht="22.5" customHeight="1">
      <c r="A88" s="1"/>
      <c r="B88" s="1"/>
      <c r="C88" s="1"/>
      <c r="D88" s="1"/>
      <c r="E88" s="1"/>
      <c r="F88" s="1"/>
      <c r="G88" s="1"/>
      <c r="H88" s="1"/>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decimal" allowBlank="1" sqref="C26:E26 D27:E27 E28 C38:E38 D39:E39 E40 C50:E50 D51:E51 E52 C62:E62 D63:E63 E64 C74:E74 D75:E75 E76">
      <formula1>0.1111111111111111</formula1>
      <formula2>9.0</formula2>
    </dataValidation>
    <dataValidation type="decimal" allowBlank="1" sqref="B8:B11 B14:E17">
      <formula1>1.0</formula1>
      <formula2>9.0</formula2>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5" width="17.25"/>
    <col customWidth="1" min="6" max="8" width="12.0"/>
    <col customWidth="1" min="9" max="26" width="8.63"/>
  </cols>
  <sheetData>
    <row r="1" ht="22.5" customHeight="1">
      <c r="A1" s="1"/>
      <c r="B1" s="1"/>
      <c r="C1" s="1"/>
      <c r="D1" s="1"/>
      <c r="E1" s="1"/>
      <c r="F1" s="1"/>
      <c r="G1" s="1"/>
      <c r="H1" s="1"/>
    </row>
    <row r="2" ht="31.5" customHeight="1">
      <c r="A2" s="2" t="s">
        <v>16</v>
      </c>
      <c r="B2" s="1"/>
      <c r="C2" s="1"/>
      <c r="D2" s="1"/>
      <c r="E2" s="1"/>
      <c r="F2" s="1"/>
      <c r="G2" s="1"/>
      <c r="H2" s="1"/>
    </row>
    <row r="3" ht="22.5" customHeight="1">
      <c r="A3" s="1"/>
      <c r="B3" s="1"/>
      <c r="C3" s="1"/>
      <c r="D3" s="1"/>
      <c r="E3" s="1"/>
      <c r="F3" s="1"/>
      <c r="G3" s="1"/>
      <c r="H3" s="1"/>
    </row>
    <row r="4" ht="22.5" customHeight="1">
      <c r="A4" s="1" t="s">
        <v>4</v>
      </c>
      <c r="B4" s="1" t="str">
        <f>'Настройки'!B8</f>
        <v>Колбасин Николай Владимирович</v>
      </c>
      <c r="C4" s="1"/>
      <c r="D4" s="1"/>
      <c r="E4" s="1"/>
      <c r="F4" s="1"/>
      <c r="G4" s="1"/>
      <c r="H4" s="1"/>
    </row>
    <row r="5" ht="22.5" customHeight="1">
      <c r="A5" s="1" t="s">
        <v>21</v>
      </c>
      <c r="B5" s="1"/>
      <c r="C5" s="1"/>
      <c r="D5" s="1"/>
      <c r="E5" s="1"/>
      <c r="F5" s="1"/>
      <c r="G5" s="1"/>
      <c r="H5" s="1"/>
    </row>
    <row r="6" ht="22.5" customHeight="1">
      <c r="A6" s="1"/>
      <c r="B6" s="1"/>
      <c r="C6" s="1"/>
      <c r="D6" s="1"/>
      <c r="E6" s="1"/>
      <c r="F6" s="1"/>
      <c r="G6" s="1"/>
      <c r="H6" s="1"/>
    </row>
    <row r="7" ht="36.0" customHeight="1">
      <c r="A7" s="3" t="s">
        <v>23</v>
      </c>
      <c r="B7" s="3" t="s">
        <v>25</v>
      </c>
      <c r="C7" s="1"/>
      <c r="D7" s="1"/>
      <c r="E7" s="1"/>
      <c r="F7" s="1"/>
      <c r="G7" s="1"/>
      <c r="H7" s="1"/>
    </row>
    <row r="8" ht="22.5" customHeight="1">
      <c r="A8" s="1" t="str">
        <f>'Настройки'!B21</f>
        <v>Практическая полезность</v>
      </c>
      <c r="B8" s="12"/>
      <c r="C8" s="1"/>
      <c r="D8" s="1"/>
      <c r="E8" s="1"/>
      <c r="F8" s="1"/>
      <c r="G8" s="1"/>
      <c r="H8" s="1"/>
    </row>
    <row r="9" ht="22.5" customHeight="1">
      <c r="A9" s="1" t="str">
        <f>'Настройки'!B22</f>
        <v>Простота реализации</v>
      </c>
      <c r="B9" s="12"/>
      <c r="C9" s="1"/>
      <c r="D9" s="1"/>
      <c r="E9" s="1"/>
      <c r="F9" s="1"/>
      <c r="G9" s="1"/>
      <c r="H9" s="1"/>
    </row>
    <row r="10" ht="22.5" customHeight="1">
      <c r="A10" s="1" t="str">
        <f>'Настройки'!B23</f>
        <v>Удобство оценки и планирования</v>
      </c>
      <c r="B10" s="12"/>
      <c r="C10" s="1"/>
      <c r="D10" s="1"/>
      <c r="E10" s="1"/>
      <c r="F10" s="1"/>
      <c r="G10" s="1"/>
      <c r="H10" s="1"/>
    </row>
    <row r="11" ht="22.5" customHeight="1">
      <c r="A11" s="1" t="str">
        <f>'Настройки'!B24</f>
        <v>Интерес команды</v>
      </c>
      <c r="B11" s="12"/>
      <c r="C11" s="1"/>
      <c r="D11" s="1"/>
      <c r="E11" s="1"/>
      <c r="F11" s="1"/>
      <c r="G11" s="1"/>
      <c r="H11" s="1"/>
    </row>
    <row r="12" ht="22.5" customHeight="1">
      <c r="A12" s="1"/>
      <c r="B12" s="1"/>
      <c r="C12" s="1"/>
      <c r="D12" s="1"/>
      <c r="E12" s="1"/>
      <c r="F12" s="1"/>
      <c r="G12" s="1"/>
      <c r="H12" s="1"/>
    </row>
    <row r="13" ht="54.0" customHeight="1">
      <c r="A13" s="3" t="s">
        <v>105</v>
      </c>
      <c r="B13" s="3" t="str">
        <f>'Настройки'!B21</f>
        <v>Практическая полезность</v>
      </c>
      <c r="C13" s="3" t="str">
        <f>'Настройки'!B22</f>
        <v>Простота реализации</v>
      </c>
      <c r="D13" s="3" t="str">
        <f>'Настройки'!B23</f>
        <v>Удобство оценки и планирования</v>
      </c>
      <c r="E13" s="3" t="str">
        <f>'Настройки'!B24</f>
        <v>Интерес команды</v>
      </c>
      <c r="F13" s="1"/>
      <c r="G13" s="1"/>
      <c r="H13" s="1"/>
    </row>
    <row r="14" ht="22.5" customHeight="1">
      <c r="A14" s="1" t="str">
        <f>'Настройки'!B14</f>
        <v>Детейлинг-центр</v>
      </c>
      <c r="B14" s="12"/>
      <c r="C14" s="12"/>
      <c r="D14" s="12"/>
      <c r="E14" s="12"/>
      <c r="F14" s="1"/>
      <c r="G14" s="1"/>
      <c r="H14" s="1"/>
    </row>
    <row r="15" ht="22.5" customHeight="1">
      <c r="A15" s="1" t="str">
        <f>'Настройки'!B15</f>
        <v>Планировщик покупок</v>
      </c>
      <c r="B15" s="12"/>
      <c r="C15" s="12"/>
      <c r="D15" s="12"/>
      <c r="E15" s="12"/>
      <c r="F15" s="1"/>
      <c r="G15" s="1"/>
      <c r="H15" s="1"/>
    </row>
    <row r="16" ht="22.5" customHeight="1">
      <c r="A16" s="1" t="str">
        <f>'Настройки'!B16</f>
        <v>Концепция 3</v>
      </c>
      <c r="B16" s="12"/>
      <c r="C16" s="12"/>
      <c r="D16" s="12"/>
      <c r="E16" s="12"/>
      <c r="F16" s="1"/>
      <c r="G16" s="1"/>
      <c r="H16" s="1"/>
    </row>
    <row r="17" ht="22.5" customHeight="1">
      <c r="A17" s="1" t="str">
        <f>'Настройки'!B17</f>
        <v>Концепция 4</v>
      </c>
      <c r="B17" s="12"/>
      <c r="C17" s="12"/>
      <c r="D17" s="12"/>
      <c r="E17" s="12"/>
      <c r="F17" s="1"/>
      <c r="G17" s="1"/>
      <c r="H17" s="1"/>
    </row>
    <row r="18" ht="22.5" customHeight="1">
      <c r="A18" s="1"/>
      <c r="B18" s="1"/>
      <c r="C18" s="1"/>
      <c r="D18" s="1"/>
      <c r="E18" s="1"/>
      <c r="F18" s="1"/>
      <c r="G18" s="1"/>
      <c r="H18" s="1"/>
    </row>
    <row r="19" ht="22.5" customHeight="1">
      <c r="A19" s="1" t="s">
        <v>152</v>
      </c>
      <c r="B19" s="1">
        <f>COUNT(B8:B11,B14:E17)</f>
        <v>0</v>
      </c>
      <c r="C19" s="1"/>
      <c r="D19" s="1"/>
      <c r="E19" s="1"/>
      <c r="F19" s="1"/>
      <c r="G19" s="1"/>
      <c r="H19" s="1"/>
    </row>
    <row r="20" ht="22.5" customHeight="1">
      <c r="A20" s="1"/>
      <c r="B20" s="1"/>
      <c r="C20" s="1"/>
      <c r="D20" s="1"/>
      <c r="E20" s="1"/>
      <c r="F20" s="1"/>
      <c r="G20" s="1"/>
      <c r="H20" s="1"/>
    </row>
    <row r="21" ht="22.5" customHeight="1">
      <c r="A21" s="1" t="s">
        <v>155</v>
      </c>
      <c r="B21" s="1"/>
      <c r="C21" s="1"/>
      <c r="D21" s="1"/>
      <c r="E21" s="1"/>
      <c r="F21" s="1"/>
      <c r="G21" s="1"/>
      <c r="H21" s="1"/>
    </row>
    <row r="22" ht="22.5" customHeight="1">
      <c r="A22" s="1" t="s">
        <v>156</v>
      </c>
      <c r="B22" s="1"/>
      <c r="C22" s="1"/>
      <c r="D22" s="1"/>
      <c r="E22" s="1"/>
      <c r="F22" s="1"/>
      <c r="G22" s="1"/>
      <c r="H22" s="1"/>
    </row>
    <row r="23" ht="22.5" customHeight="1">
      <c r="A23" s="1"/>
      <c r="B23" s="1"/>
      <c r="C23" s="1"/>
      <c r="D23" s="1"/>
      <c r="E23" s="1"/>
      <c r="F23" s="1"/>
      <c r="G23" s="1"/>
      <c r="H23" s="1"/>
    </row>
    <row r="24" ht="22.5" customHeight="1">
      <c r="A24" s="13" t="s">
        <v>157</v>
      </c>
      <c r="B24" s="13"/>
      <c r="C24" s="13"/>
      <c r="D24" s="13"/>
      <c r="E24" s="13"/>
      <c r="F24" s="1"/>
      <c r="G24" s="1"/>
      <c r="H24" s="1"/>
    </row>
    <row r="25" ht="54.0" customHeight="1">
      <c r="A25" s="3" t="s">
        <v>158</v>
      </c>
      <c r="B25" s="3" t="str">
        <f>'Настройки'!B21</f>
        <v>Практическая полезность</v>
      </c>
      <c r="C25" s="3" t="str">
        <f>'Настройки'!B22</f>
        <v>Простота реализации</v>
      </c>
      <c r="D25" s="3" t="str">
        <f>'Настройки'!B23</f>
        <v>Удобство оценки и планирования</v>
      </c>
      <c r="E25" s="3" t="str">
        <f>'Настройки'!B24</f>
        <v>Интерес команды</v>
      </c>
      <c r="F25" s="1"/>
      <c r="G25" s="1"/>
      <c r="H25" s="1"/>
    </row>
    <row r="26" ht="36.0" customHeight="1">
      <c r="A26" s="13" t="str">
        <f>'Настройки'!B21</f>
        <v>Практическая полезность</v>
      </c>
      <c r="B26" s="13">
        <v>1.0</v>
      </c>
      <c r="C26" s="18"/>
      <c r="D26" s="18"/>
      <c r="E26" s="18"/>
      <c r="F26" s="1"/>
      <c r="G26" s="1"/>
      <c r="H26" s="1"/>
    </row>
    <row r="27" ht="36.0" customHeight="1">
      <c r="A27" s="13" t="str">
        <f>'Настройки'!B22</f>
        <v>Простота реализации</v>
      </c>
      <c r="B27" s="13" t="str">
        <f>IF(COUNT(C26)=0,"",1/C26)</f>
        <v/>
      </c>
      <c r="C27" s="13">
        <v>1.0</v>
      </c>
      <c r="D27" s="18"/>
      <c r="E27" s="18"/>
      <c r="F27" s="1"/>
      <c r="G27" s="1"/>
      <c r="H27" s="1"/>
    </row>
    <row r="28" ht="36.0" customHeight="1">
      <c r="A28" s="13" t="str">
        <f>'Настройки'!B23</f>
        <v>Удобство оценки и планирования</v>
      </c>
      <c r="B28" s="13" t="str">
        <f>IF(COUNT(D26)=0,"",1/D26)</f>
        <v/>
      </c>
      <c r="C28" s="13" t="str">
        <f>IF(COUNT(D27)=0,"",1/D27)</f>
        <v/>
      </c>
      <c r="D28" s="13">
        <v>1.0</v>
      </c>
      <c r="E28" s="18"/>
      <c r="F28" s="1"/>
      <c r="G28" s="1"/>
      <c r="H28" s="1"/>
    </row>
    <row r="29" ht="36.0" customHeight="1">
      <c r="A29" s="13" t="str">
        <f>'Настройки'!B24</f>
        <v>Интерес команды</v>
      </c>
      <c r="B29" s="13" t="str">
        <f>IF(COUNT(E26)=0,"",1/E26)</f>
        <v/>
      </c>
      <c r="C29" s="13" t="str">
        <f>IF(COUNT(E27)=0,"",1/E27)</f>
        <v/>
      </c>
      <c r="D29" s="13" t="str">
        <f>IF(COUNT(E28)=0,"",1/E28)</f>
        <v/>
      </c>
      <c r="E29" s="13">
        <v>1.0</v>
      </c>
      <c r="F29" s="1"/>
      <c r="G29" s="1"/>
      <c r="H29" s="1"/>
    </row>
    <row r="30" ht="22.5" customHeight="1">
      <c r="A30" s="13"/>
      <c r="B30" s="13"/>
      <c r="C30" s="13"/>
      <c r="D30" s="13"/>
      <c r="E30" s="13"/>
      <c r="F30" s="1"/>
      <c r="G30" s="1"/>
      <c r="H30" s="1"/>
    </row>
    <row r="31" ht="22.5" customHeight="1">
      <c r="A31" s="13" t="s">
        <v>160</v>
      </c>
      <c r="B31" s="19" t="str">
        <f>IF(COUNT('МАИ'!B168)=0,"",'МАИ'!B168)</f>
        <v/>
      </c>
      <c r="C31" s="13" t="str">
        <f>IF(COUNT(B31)=0,"Нет оценок",IF(B31&lt;='Настройки'!$B$31,"Согласовано","Пересмотреть"))</f>
        <v>Нет оценок</v>
      </c>
      <c r="D31" s="13"/>
      <c r="E31" s="13"/>
      <c r="F31" s="1"/>
      <c r="G31" s="1"/>
      <c r="H31" s="1"/>
    </row>
    <row r="32" ht="22.5" customHeight="1">
      <c r="A32" s="13"/>
      <c r="B32" s="13"/>
      <c r="C32" s="13"/>
      <c r="D32" s="13"/>
      <c r="E32" s="13"/>
      <c r="F32" s="1"/>
      <c r="G32" s="1"/>
      <c r="H32" s="1"/>
    </row>
    <row r="33" ht="22.5" customHeight="1">
      <c r="A33" s="13"/>
      <c r="B33" s="13"/>
      <c r="C33" s="13"/>
      <c r="D33" s="13"/>
      <c r="E33" s="13"/>
      <c r="F33" s="1"/>
      <c r="G33" s="1"/>
      <c r="H33" s="1"/>
    </row>
    <row r="34" ht="22.5" customHeight="1">
      <c r="A34" s="13"/>
      <c r="B34" s="13"/>
      <c r="C34" s="13"/>
      <c r="D34" s="13"/>
      <c r="E34" s="13"/>
      <c r="F34" s="1"/>
      <c r="G34" s="1"/>
      <c r="H34" s="1"/>
    </row>
    <row r="35" ht="22.5" customHeight="1">
      <c r="A35" s="13"/>
      <c r="B35" s="13"/>
      <c r="C35" s="13"/>
      <c r="D35" s="13"/>
      <c r="E35" s="13"/>
      <c r="F35" s="1"/>
      <c r="G35" s="1"/>
      <c r="H35" s="1"/>
    </row>
    <row r="36" ht="22.5" customHeight="1">
      <c r="A36" s="13" t="s">
        <v>161</v>
      </c>
      <c r="B36" s="13" t="str">
        <f>'Настройки'!B21</f>
        <v>Практическая полезность</v>
      </c>
      <c r="C36" s="13"/>
      <c r="D36" s="13"/>
      <c r="E36" s="13"/>
      <c r="F36" s="1"/>
      <c r="G36" s="1"/>
      <c r="H36" s="1"/>
    </row>
    <row r="37" ht="54.0" customHeight="1">
      <c r="A37" s="3" t="s">
        <v>158</v>
      </c>
      <c r="B37" s="3" t="str">
        <f>'Настройки'!B14</f>
        <v>Детейлинг-центр</v>
      </c>
      <c r="C37" s="3" t="str">
        <f>'Настройки'!B15</f>
        <v>Планировщик покупок</v>
      </c>
      <c r="D37" s="3" t="str">
        <f>'Настройки'!B16</f>
        <v>Концепция 3</v>
      </c>
      <c r="E37" s="3" t="str">
        <f>'Настройки'!B17</f>
        <v>Концепция 4</v>
      </c>
      <c r="F37" s="1"/>
      <c r="G37" s="1"/>
      <c r="H37" s="1"/>
    </row>
    <row r="38" ht="36.0" customHeight="1">
      <c r="A38" s="13" t="str">
        <f>'Настройки'!B14</f>
        <v>Детейлинг-центр</v>
      </c>
      <c r="B38" s="13">
        <v>1.0</v>
      </c>
      <c r="C38" s="18"/>
      <c r="D38" s="18"/>
      <c r="E38" s="18"/>
      <c r="F38" s="1"/>
      <c r="G38" s="1"/>
      <c r="H38" s="1"/>
    </row>
    <row r="39" ht="36.0" customHeight="1">
      <c r="A39" s="13" t="str">
        <f>'Настройки'!B15</f>
        <v>Планировщик покупок</v>
      </c>
      <c r="B39" s="13" t="str">
        <f>IF(COUNT(C38)=0,"",1/C38)</f>
        <v/>
      </c>
      <c r="C39" s="13">
        <v>1.0</v>
      </c>
      <c r="D39" s="18"/>
      <c r="E39" s="18"/>
      <c r="F39" s="1"/>
      <c r="G39" s="1"/>
      <c r="H39" s="1"/>
    </row>
    <row r="40" ht="36.0" customHeight="1">
      <c r="A40" s="13" t="str">
        <f>'Настройки'!B16</f>
        <v>Концепция 3</v>
      </c>
      <c r="B40" s="13" t="str">
        <f>IF(COUNT(D38)=0,"",1/D38)</f>
        <v/>
      </c>
      <c r="C40" s="13" t="str">
        <f>IF(COUNT(D39)=0,"",1/D39)</f>
        <v/>
      </c>
      <c r="D40" s="13">
        <v>1.0</v>
      </c>
      <c r="E40" s="18"/>
      <c r="F40" s="1"/>
      <c r="G40" s="1"/>
      <c r="H40" s="1"/>
    </row>
    <row r="41" ht="36.0" customHeight="1">
      <c r="A41" s="13" t="str">
        <f>'Настройки'!B17</f>
        <v>Концепция 4</v>
      </c>
      <c r="B41" s="13" t="str">
        <f>IF(COUNT(E38)=0,"",1/E38)</f>
        <v/>
      </c>
      <c r="C41" s="13" t="str">
        <f>IF(COUNT(E39)=0,"",1/E39)</f>
        <v/>
      </c>
      <c r="D41" s="13" t="str">
        <f>IF(COUNT(E40)=0,"",1/E40)</f>
        <v/>
      </c>
      <c r="E41" s="13">
        <v>1.0</v>
      </c>
      <c r="F41" s="1"/>
      <c r="G41" s="1"/>
      <c r="H41" s="1"/>
    </row>
    <row r="42" ht="22.5" customHeight="1">
      <c r="A42" s="13"/>
      <c r="B42" s="13"/>
      <c r="C42" s="13"/>
      <c r="D42" s="13"/>
      <c r="E42" s="13"/>
      <c r="F42" s="1"/>
      <c r="G42" s="1"/>
      <c r="H42" s="1"/>
    </row>
    <row r="43" ht="22.5" customHeight="1">
      <c r="A43" s="13" t="s">
        <v>160</v>
      </c>
      <c r="B43" s="19" t="str">
        <f>IF(COUNT('МАИ'!B182)=0,"",'МАИ'!B182)</f>
        <v/>
      </c>
      <c r="C43" s="13" t="str">
        <f>IF(COUNT(B43)=0,"Нет оценок",IF(B43&lt;='Настройки'!$B$31,"Согласовано","Пересмотреть"))</f>
        <v>Нет оценок</v>
      </c>
      <c r="D43" s="13"/>
      <c r="E43" s="13"/>
      <c r="F43" s="1"/>
      <c r="G43" s="1"/>
      <c r="H43" s="1"/>
    </row>
    <row r="44" ht="22.5" customHeight="1">
      <c r="A44" s="13"/>
      <c r="B44" s="13"/>
      <c r="C44" s="13"/>
      <c r="D44" s="13"/>
      <c r="E44" s="13"/>
      <c r="F44" s="1"/>
      <c r="G44" s="1"/>
      <c r="H44" s="1"/>
    </row>
    <row r="45" ht="22.5" customHeight="1">
      <c r="A45" s="13"/>
      <c r="B45" s="13"/>
      <c r="C45" s="13"/>
      <c r="D45" s="13"/>
      <c r="E45" s="13"/>
      <c r="F45" s="1"/>
      <c r="G45" s="1"/>
      <c r="H45" s="1"/>
    </row>
    <row r="46" ht="22.5" customHeight="1">
      <c r="A46" s="13"/>
      <c r="B46" s="13"/>
      <c r="C46" s="13"/>
      <c r="D46" s="13"/>
      <c r="E46" s="13"/>
      <c r="F46" s="1"/>
      <c r="G46" s="1"/>
      <c r="H46" s="1"/>
    </row>
    <row r="47" ht="22.5" customHeight="1">
      <c r="A47" s="13"/>
      <c r="B47" s="13"/>
      <c r="C47" s="13"/>
      <c r="D47" s="13"/>
      <c r="E47" s="13"/>
      <c r="F47" s="1"/>
      <c r="G47" s="1"/>
      <c r="H47" s="1"/>
    </row>
    <row r="48" ht="22.5" customHeight="1">
      <c r="A48" s="13" t="s">
        <v>163</v>
      </c>
      <c r="B48" s="13" t="str">
        <f>'Настройки'!B22</f>
        <v>Простота реализации</v>
      </c>
      <c r="C48" s="13"/>
      <c r="D48" s="13"/>
      <c r="E48" s="13"/>
      <c r="F48" s="1"/>
      <c r="G48" s="1"/>
      <c r="H48" s="1"/>
    </row>
    <row r="49" ht="54.0" customHeight="1">
      <c r="A49" s="3" t="s">
        <v>158</v>
      </c>
      <c r="B49" s="3" t="str">
        <f>'Настройки'!B14</f>
        <v>Детейлинг-центр</v>
      </c>
      <c r="C49" s="3" t="str">
        <f>'Настройки'!B15</f>
        <v>Планировщик покупок</v>
      </c>
      <c r="D49" s="3" t="str">
        <f>'Настройки'!B16</f>
        <v>Концепция 3</v>
      </c>
      <c r="E49" s="3" t="str">
        <f>'Настройки'!B17</f>
        <v>Концепция 4</v>
      </c>
      <c r="F49" s="1"/>
      <c r="G49" s="1"/>
      <c r="H49" s="1"/>
    </row>
    <row r="50" ht="36.0" customHeight="1">
      <c r="A50" s="13" t="str">
        <f>'Настройки'!B14</f>
        <v>Детейлинг-центр</v>
      </c>
      <c r="B50" s="13">
        <v>1.0</v>
      </c>
      <c r="C50" s="18"/>
      <c r="D50" s="18"/>
      <c r="E50" s="18"/>
      <c r="F50" s="1"/>
      <c r="G50" s="1"/>
      <c r="H50" s="1"/>
    </row>
    <row r="51" ht="36.0" customHeight="1">
      <c r="A51" s="13" t="str">
        <f>'Настройки'!B15</f>
        <v>Планировщик покупок</v>
      </c>
      <c r="B51" s="13" t="str">
        <f>IF(COUNT(C50)=0,"",1/C50)</f>
        <v/>
      </c>
      <c r="C51" s="13">
        <v>1.0</v>
      </c>
      <c r="D51" s="18"/>
      <c r="E51" s="18"/>
      <c r="F51" s="1"/>
      <c r="G51" s="1"/>
      <c r="H51" s="1"/>
    </row>
    <row r="52" ht="36.0" customHeight="1">
      <c r="A52" s="13" t="str">
        <f>'Настройки'!B16</f>
        <v>Концепция 3</v>
      </c>
      <c r="B52" s="13" t="str">
        <f>IF(COUNT(D50)=0,"",1/D50)</f>
        <v/>
      </c>
      <c r="C52" s="13" t="str">
        <f>IF(COUNT(D51)=0,"",1/D51)</f>
        <v/>
      </c>
      <c r="D52" s="13">
        <v>1.0</v>
      </c>
      <c r="E52" s="18"/>
      <c r="F52" s="1"/>
      <c r="G52" s="1"/>
      <c r="H52" s="1"/>
    </row>
    <row r="53" ht="36.0" customHeight="1">
      <c r="A53" s="13" t="str">
        <f>'Настройки'!B17</f>
        <v>Концепция 4</v>
      </c>
      <c r="B53" s="13" t="str">
        <f>IF(COUNT(E50)=0,"",1/E50)</f>
        <v/>
      </c>
      <c r="C53" s="13" t="str">
        <f>IF(COUNT(E51)=0,"",1/E51)</f>
        <v/>
      </c>
      <c r="D53" s="13" t="str">
        <f>IF(COUNT(E52)=0,"",1/E52)</f>
        <v/>
      </c>
      <c r="E53" s="13">
        <v>1.0</v>
      </c>
      <c r="F53" s="1"/>
      <c r="G53" s="1"/>
      <c r="H53" s="1"/>
    </row>
    <row r="54" ht="22.5" customHeight="1">
      <c r="A54" s="13"/>
      <c r="B54" s="13"/>
      <c r="C54" s="13"/>
      <c r="D54" s="13"/>
      <c r="E54" s="13"/>
      <c r="F54" s="1"/>
      <c r="G54" s="1"/>
      <c r="H54" s="1"/>
    </row>
    <row r="55" ht="22.5" customHeight="1">
      <c r="A55" s="13" t="s">
        <v>160</v>
      </c>
      <c r="B55" s="19" t="str">
        <f>IF(COUNT('МАИ'!B196)=0,"",'МАИ'!B196)</f>
        <v/>
      </c>
      <c r="C55" s="13" t="str">
        <f>IF(COUNT(B55)=0,"Нет оценок",IF(B55&lt;='Настройки'!$B$31,"Согласовано","Пересмотреть"))</f>
        <v>Нет оценок</v>
      </c>
      <c r="D55" s="13"/>
      <c r="E55" s="13"/>
      <c r="F55" s="1"/>
      <c r="G55" s="1"/>
      <c r="H55" s="1"/>
    </row>
    <row r="56" ht="22.5" customHeight="1">
      <c r="A56" s="13"/>
      <c r="B56" s="13"/>
      <c r="C56" s="13"/>
      <c r="D56" s="13"/>
      <c r="E56" s="13"/>
      <c r="F56" s="1"/>
      <c r="G56" s="1"/>
      <c r="H56" s="1"/>
    </row>
    <row r="57" ht="22.5" customHeight="1">
      <c r="A57" s="13"/>
      <c r="B57" s="13"/>
      <c r="C57" s="13"/>
      <c r="D57" s="13"/>
      <c r="E57" s="13"/>
      <c r="F57" s="1"/>
      <c r="G57" s="1"/>
      <c r="H57" s="1"/>
    </row>
    <row r="58" ht="22.5" customHeight="1">
      <c r="A58" s="13"/>
      <c r="B58" s="13"/>
      <c r="C58" s="13"/>
      <c r="D58" s="13"/>
      <c r="E58" s="13"/>
      <c r="F58" s="1"/>
      <c r="G58" s="1"/>
      <c r="H58" s="1"/>
    </row>
    <row r="59" ht="22.5" customHeight="1">
      <c r="A59" s="13"/>
      <c r="B59" s="13"/>
      <c r="C59" s="13"/>
      <c r="D59" s="13"/>
      <c r="E59" s="13"/>
      <c r="F59" s="1"/>
      <c r="G59" s="1"/>
      <c r="H59" s="1"/>
    </row>
    <row r="60" ht="22.5" customHeight="1">
      <c r="A60" s="13" t="s">
        <v>164</v>
      </c>
      <c r="B60" s="13" t="str">
        <f>'Настройки'!B23</f>
        <v>Удобство оценки и планирования</v>
      </c>
      <c r="C60" s="13"/>
      <c r="D60" s="13"/>
      <c r="E60" s="13"/>
      <c r="F60" s="1"/>
      <c r="G60" s="1"/>
      <c r="H60" s="1"/>
    </row>
    <row r="61" ht="54.0" customHeight="1">
      <c r="A61" s="3" t="s">
        <v>158</v>
      </c>
      <c r="B61" s="3" t="str">
        <f>'Настройки'!B14</f>
        <v>Детейлинг-центр</v>
      </c>
      <c r="C61" s="3" t="str">
        <f>'Настройки'!B15</f>
        <v>Планировщик покупок</v>
      </c>
      <c r="D61" s="3" t="str">
        <f>'Настройки'!B16</f>
        <v>Концепция 3</v>
      </c>
      <c r="E61" s="3" t="str">
        <f>'Настройки'!B17</f>
        <v>Концепция 4</v>
      </c>
      <c r="F61" s="1"/>
      <c r="G61" s="1"/>
      <c r="H61" s="1"/>
    </row>
    <row r="62" ht="36.0" customHeight="1">
      <c r="A62" s="13" t="str">
        <f>'Настройки'!B14</f>
        <v>Детейлинг-центр</v>
      </c>
      <c r="B62" s="13">
        <v>1.0</v>
      </c>
      <c r="C62" s="18"/>
      <c r="D62" s="18"/>
      <c r="E62" s="18"/>
      <c r="F62" s="1"/>
      <c r="G62" s="1"/>
      <c r="H62" s="1"/>
    </row>
    <row r="63" ht="36.0" customHeight="1">
      <c r="A63" s="13" t="str">
        <f>'Настройки'!B15</f>
        <v>Планировщик покупок</v>
      </c>
      <c r="B63" s="13" t="str">
        <f>IF(COUNT(C62)=0,"",1/C62)</f>
        <v/>
      </c>
      <c r="C63" s="13">
        <v>1.0</v>
      </c>
      <c r="D63" s="18"/>
      <c r="E63" s="18"/>
      <c r="F63" s="1"/>
      <c r="G63" s="1"/>
      <c r="H63" s="1"/>
    </row>
    <row r="64" ht="36.0" customHeight="1">
      <c r="A64" s="13" t="str">
        <f>'Настройки'!B16</f>
        <v>Концепция 3</v>
      </c>
      <c r="B64" s="13" t="str">
        <f>IF(COUNT(D62)=0,"",1/D62)</f>
        <v/>
      </c>
      <c r="C64" s="13" t="str">
        <f>IF(COUNT(D63)=0,"",1/D63)</f>
        <v/>
      </c>
      <c r="D64" s="13">
        <v>1.0</v>
      </c>
      <c r="E64" s="18"/>
      <c r="F64" s="1"/>
      <c r="G64" s="1"/>
      <c r="H64" s="1"/>
    </row>
    <row r="65" ht="36.0" customHeight="1">
      <c r="A65" s="13" t="str">
        <f>'Настройки'!B17</f>
        <v>Концепция 4</v>
      </c>
      <c r="B65" s="13" t="str">
        <f>IF(COUNT(E62)=0,"",1/E62)</f>
        <v/>
      </c>
      <c r="C65" s="13" t="str">
        <f>IF(COUNT(E63)=0,"",1/E63)</f>
        <v/>
      </c>
      <c r="D65" s="13" t="str">
        <f>IF(COUNT(E64)=0,"",1/E64)</f>
        <v/>
      </c>
      <c r="E65" s="13">
        <v>1.0</v>
      </c>
      <c r="F65" s="1"/>
      <c r="G65" s="1"/>
      <c r="H65" s="1"/>
    </row>
    <row r="66" ht="22.5" customHeight="1">
      <c r="A66" s="13"/>
      <c r="B66" s="13"/>
      <c r="C66" s="13"/>
      <c r="D66" s="13"/>
      <c r="E66" s="13"/>
      <c r="F66" s="1"/>
      <c r="G66" s="1"/>
      <c r="H66" s="1"/>
    </row>
    <row r="67" ht="22.5" customHeight="1">
      <c r="A67" s="13" t="s">
        <v>160</v>
      </c>
      <c r="B67" s="19" t="str">
        <f>IF(COUNT('МАИ'!B210)=0,"",'МАИ'!B210)</f>
        <v/>
      </c>
      <c r="C67" s="13" t="str">
        <f>IF(COUNT(B67)=0,"Нет оценок",IF(B67&lt;='Настройки'!$B$31,"Согласовано","Пересмотреть"))</f>
        <v>Нет оценок</v>
      </c>
      <c r="D67" s="13"/>
      <c r="E67" s="13"/>
      <c r="F67" s="1"/>
      <c r="G67" s="1"/>
      <c r="H67" s="1"/>
    </row>
    <row r="68" ht="22.5" customHeight="1">
      <c r="A68" s="13"/>
      <c r="B68" s="13"/>
      <c r="C68" s="13"/>
      <c r="D68" s="13"/>
      <c r="E68" s="13"/>
      <c r="F68" s="1"/>
      <c r="G68" s="1"/>
      <c r="H68" s="1"/>
    </row>
    <row r="69" ht="22.5" customHeight="1">
      <c r="A69" s="13"/>
      <c r="B69" s="13"/>
      <c r="C69" s="13"/>
      <c r="D69" s="13"/>
      <c r="E69" s="13"/>
      <c r="F69" s="1"/>
      <c r="G69" s="1"/>
      <c r="H69" s="1"/>
    </row>
    <row r="70" ht="22.5" customHeight="1">
      <c r="A70" s="13"/>
      <c r="B70" s="13"/>
      <c r="C70" s="13"/>
      <c r="D70" s="13"/>
      <c r="E70" s="13"/>
      <c r="F70" s="1"/>
      <c r="G70" s="1"/>
      <c r="H70" s="1"/>
    </row>
    <row r="71" ht="22.5" customHeight="1">
      <c r="A71" s="13"/>
      <c r="B71" s="13"/>
      <c r="C71" s="13"/>
      <c r="D71" s="13"/>
      <c r="E71" s="13"/>
      <c r="F71" s="1"/>
      <c r="G71" s="1"/>
      <c r="H71" s="1"/>
    </row>
    <row r="72" ht="22.5" customHeight="1">
      <c r="A72" s="13" t="s">
        <v>165</v>
      </c>
      <c r="B72" s="13" t="str">
        <f>'Настройки'!B24</f>
        <v>Интерес команды</v>
      </c>
      <c r="C72" s="13"/>
      <c r="D72" s="13"/>
      <c r="E72" s="13"/>
      <c r="F72" s="1"/>
      <c r="G72" s="1"/>
      <c r="H72" s="1"/>
    </row>
    <row r="73" ht="54.0" customHeight="1">
      <c r="A73" s="3" t="s">
        <v>158</v>
      </c>
      <c r="B73" s="3" t="str">
        <f>'Настройки'!B14</f>
        <v>Детейлинг-центр</v>
      </c>
      <c r="C73" s="3" t="str">
        <f>'Настройки'!B15</f>
        <v>Планировщик покупок</v>
      </c>
      <c r="D73" s="3" t="str">
        <f>'Настройки'!B16</f>
        <v>Концепция 3</v>
      </c>
      <c r="E73" s="3" t="str">
        <f>'Настройки'!B17</f>
        <v>Концепция 4</v>
      </c>
      <c r="F73" s="1"/>
      <c r="G73" s="1"/>
      <c r="H73" s="1"/>
    </row>
    <row r="74" ht="36.0" customHeight="1">
      <c r="A74" s="13" t="str">
        <f>'Настройки'!B14</f>
        <v>Детейлинг-центр</v>
      </c>
      <c r="B74" s="13">
        <v>1.0</v>
      </c>
      <c r="C74" s="18"/>
      <c r="D74" s="18"/>
      <c r="E74" s="18"/>
      <c r="F74" s="1"/>
      <c r="G74" s="1"/>
      <c r="H74" s="1"/>
    </row>
    <row r="75" ht="36.0" customHeight="1">
      <c r="A75" s="13" t="str">
        <f>'Настройки'!B15</f>
        <v>Планировщик покупок</v>
      </c>
      <c r="B75" s="13" t="str">
        <f>IF(COUNT(C74)=0,"",1/C74)</f>
        <v/>
      </c>
      <c r="C75" s="13">
        <v>1.0</v>
      </c>
      <c r="D75" s="18"/>
      <c r="E75" s="18"/>
      <c r="F75" s="1"/>
      <c r="G75" s="1"/>
      <c r="H75" s="1"/>
    </row>
    <row r="76" ht="36.0" customHeight="1">
      <c r="A76" s="13" t="str">
        <f>'Настройки'!B16</f>
        <v>Концепция 3</v>
      </c>
      <c r="B76" s="13" t="str">
        <f>IF(COUNT(D74)=0,"",1/D74)</f>
        <v/>
      </c>
      <c r="C76" s="13" t="str">
        <f>IF(COUNT(D75)=0,"",1/D75)</f>
        <v/>
      </c>
      <c r="D76" s="13">
        <v>1.0</v>
      </c>
      <c r="E76" s="18"/>
      <c r="F76" s="1"/>
      <c r="G76" s="1"/>
      <c r="H76" s="1"/>
    </row>
    <row r="77" ht="36.0" customHeight="1">
      <c r="A77" s="13" t="str">
        <f>'Настройки'!B17</f>
        <v>Концепция 4</v>
      </c>
      <c r="B77" s="13" t="str">
        <f>IF(COUNT(E74)=0,"",1/E74)</f>
        <v/>
      </c>
      <c r="C77" s="13" t="str">
        <f>IF(COUNT(E75)=0,"",1/E75)</f>
        <v/>
      </c>
      <c r="D77" s="13" t="str">
        <f>IF(COUNT(E76)=0,"",1/E76)</f>
        <v/>
      </c>
      <c r="E77" s="13">
        <v>1.0</v>
      </c>
      <c r="F77" s="1"/>
      <c r="G77" s="1"/>
      <c r="H77" s="1"/>
    </row>
    <row r="78" ht="22.5" customHeight="1">
      <c r="A78" s="13"/>
      <c r="B78" s="13"/>
      <c r="C78" s="13"/>
      <c r="D78" s="13"/>
      <c r="E78" s="13"/>
      <c r="F78" s="1"/>
      <c r="G78" s="1"/>
      <c r="H78" s="1"/>
    </row>
    <row r="79" ht="22.5" customHeight="1">
      <c r="A79" s="13" t="s">
        <v>160</v>
      </c>
      <c r="B79" s="19" t="str">
        <f>IF(COUNT('МАИ'!B224)=0,"",'МАИ'!B224)</f>
        <v/>
      </c>
      <c r="C79" s="13" t="str">
        <f>IF(COUNT(B79)=0,"Нет оценок",IF(B79&lt;='Настройки'!$B$31,"Согласовано","Пересмотреть"))</f>
        <v>Нет оценок</v>
      </c>
      <c r="D79" s="13"/>
      <c r="E79" s="13"/>
      <c r="F79" s="1"/>
      <c r="G79" s="1"/>
      <c r="H79" s="1"/>
    </row>
    <row r="80" ht="22.5" customHeight="1">
      <c r="A80" s="13"/>
      <c r="B80" s="13"/>
      <c r="C80" s="13"/>
      <c r="D80" s="13"/>
      <c r="E80" s="13"/>
      <c r="F80" s="1"/>
      <c r="G80" s="1"/>
      <c r="H80" s="1"/>
    </row>
    <row r="81" ht="22.5" customHeight="1">
      <c r="A81" s="13"/>
      <c r="B81" s="13"/>
      <c r="C81" s="13"/>
      <c r="D81" s="13"/>
      <c r="E81" s="13"/>
      <c r="F81" s="1"/>
      <c r="G81" s="1"/>
      <c r="H81" s="1"/>
    </row>
    <row r="82" ht="22.5" customHeight="1">
      <c r="A82" s="13"/>
      <c r="B82" s="13"/>
      <c r="C82" s="13"/>
      <c r="D82" s="13"/>
      <c r="E82" s="13"/>
      <c r="F82" s="1"/>
      <c r="G82" s="1"/>
      <c r="H82" s="1"/>
    </row>
    <row r="83" ht="22.5" customHeight="1">
      <c r="A83" s="13"/>
      <c r="B83" s="13"/>
      <c r="C83" s="13"/>
      <c r="D83" s="13"/>
      <c r="E83" s="13"/>
      <c r="F83" s="1"/>
      <c r="G83" s="1"/>
      <c r="H83" s="1"/>
    </row>
    <row r="84" ht="22.5" customHeight="1">
      <c r="A84" s="1"/>
      <c r="B84" s="1"/>
      <c r="C84" s="1"/>
      <c r="D84" s="1"/>
      <c r="E84" s="1"/>
      <c r="F84" s="1"/>
      <c r="G84" s="1"/>
      <c r="H84" s="1"/>
    </row>
    <row r="85" ht="22.5" customHeight="1">
      <c r="A85" s="1"/>
      <c r="B85" s="1"/>
      <c r="C85" s="1"/>
      <c r="D85" s="1"/>
      <c r="E85" s="1"/>
      <c r="F85" s="1"/>
      <c r="G85" s="1"/>
      <c r="H85" s="1"/>
    </row>
    <row r="86" ht="22.5" customHeight="1">
      <c r="A86" s="1"/>
      <c r="B86" s="1"/>
      <c r="C86" s="1"/>
      <c r="D86" s="1"/>
      <c r="E86" s="1"/>
      <c r="F86" s="1"/>
      <c r="G86" s="1"/>
      <c r="H86" s="1"/>
    </row>
    <row r="87" ht="22.5" customHeight="1">
      <c r="A87" s="1"/>
      <c r="B87" s="1"/>
      <c r="C87" s="1"/>
      <c r="D87" s="1"/>
      <c r="E87" s="1"/>
      <c r="F87" s="1"/>
      <c r="G87" s="1"/>
      <c r="H87" s="1"/>
    </row>
    <row r="88" ht="22.5" customHeight="1">
      <c r="A88" s="1"/>
      <c r="B88" s="1"/>
      <c r="C88" s="1"/>
      <c r="D88" s="1"/>
      <c r="E88" s="1"/>
      <c r="F88" s="1"/>
      <c r="G88" s="1"/>
      <c r="H88" s="1"/>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decimal" allowBlank="1" sqref="C26:E26 D27:E27 E28 C38:E38 D39:E39 E40 C50:E50 D51:E51 E52 C62:E62 D63:E63 E64 C74:E74 D75:E75 E76">
      <formula1>0.1111111111111111</formula1>
      <formula2>9.0</formula2>
    </dataValidation>
    <dataValidation type="decimal" allowBlank="1" sqref="B8:B11 B14:E17">
      <formula1>1.0</formula1>
      <formula2>9.0</formula2>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5" width="17.25"/>
    <col customWidth="1" min="6" max="8" width="12.0"/>
    <col customWidth="1" min="9" max="26" width="8.63"/>
  </cols>
  <sheetData>
    <row r="1" ht="22.5" customHeight="1">
      <c r="A1" s="1"/>
      <c r="B1" s="1"/>
      <c r="C1" s="1"/>
      <c r="D1" s="1"/>
      <c r="E1" s="1"/>
      <c r="F1" s="1"/>
      <c r="G1" s="1"/>
      <c r="H1" s="1"/>
    </row>
    <row r="2" ht="31.5" customHeight="1">
      <c r="A2" s="2" t="s">
        <v>159</v>
      </c>
      <c r="B2" s="1"/>
      <c r="C2" s="1"/>
      <c r="D2" s="1"/>
      <c r="E2" s="1"/>
      <c r="F2" s="1"/>
      <c r="G2" s="1"/>
      <c r="H2" s="1"/>
    </row>
    <row r="3" ht="22.5" customHeight="1">
      <c r="A3" s="1"/>
      <c r="B3" s="1"/>
      <c r="C3" s="1"/>
      <c r="D3" s="1"/>
      <c r="E3" s="1"/>
      <c r="F3" s="1"/>
      <c r="G3" s="1"/>
      <c r="H3" s="1"/>
    </row>
    <row r="4" ht="22.5" customHeight="1">
      <c r="A4" s="1" t="s">
        <v>4</v>
      </c>
      <c r="B4" s="1" t="str">
        <f>'Настройки'!B9</f>
        <v>Добросоцкий Михаил Сергеевич</v>
      </c>
      <c r="C4" s="1"/>
      <c r="D4" s="1"/>
      <c r="E4" s="1"/>
      <c r="F4" s="1"/>
      <c r="G4" s="1"/>
      <c r="H4" s="1"/>
    </row>
    <row r="5" ht="22.5" customHeight="1">
      <c r="A5" s="1" t="s">
        <v>21</v>
      </c>
      <c r="B5" s="1"/>
      <c r="C5" s="1"/>
      <c r="D5" s="1"/>
      <c r="E5" s="1"/>
      <c r="F5" s="1"/>
      <c r="G5" s="1"/>
      <c r="H5" s="1"/>
    </row>
    <row r="6" ht="22.5" customHeight="1">
      <c r="A6" s="1"/>
      <c r="B6" s="1"/>
      <c r="C6" s="1"/>
      <c r="D6" s="1"/>
      <c r="E6" s="1"/>
      <c r="F6" s="1"/>
      <c r="G6" s="1"/>
      <c r="H6" s="1"/>
    </row>
    <row r="7" ht="36.0" customHeight="1">
      <c r="A7" s="3" t="s">
        <v>23</v>
      </c>
      <c r="B7" s="3" t="s">
        <v>25</v>
      </c>
      <c r="C7" s="1"/>
      <c r="D7" s="1"/>
      <c r="E7" s="1"/>
      <c r="F7" s="1"/>
      <c r="G7" s="1"/>
      <c r="H7" s="1"/>
    </row>
    <row r="8" ht="22.5" customHeight="1">
      <c r="A8" s="1" t="str">
        <f>'Настройки'!B21</f>
        <v>Практическая полезность</v>
      </c>
      <c r="B8" s="12"/>
      <c r="C8" s="1"/>
      <c r="D8" s="1"/>
      <c r="E8" s="1"/>
      <c r="F8" s="1"/>
      <c r="G8" s="1"/>
      <c r="H8" s="1"/>
    </row>
    <row r="9" ht="22.5" customHeight="1">
      <c r="A9" s="1" t="str">
        <f>'Настройки'!B22</f>
        <v>Простота реализации</v>
      </c>
      <c r="B9" s="12"/>
      <c r="C9" s="1"/>
      <c r="D9" s="1"/>
      <c r="E9" s="1"/>
      <c r="F9" s="1"/>
      <c r="G9" s="1"/>
      <c r="H9" s="1"/>
    </row>
    <row r="10" ht="22.5" customHeight="1">
      <c r="A10" s="1" t="str">
        <f>'Настройки'!B23</f>
        <v>Удобство оценки и планирования</v>
      </c>
      <c r="B10" s="12"/>
      <c r="C10" s="1"/>
      <c r="D10" s="1"/>
      <c r="E10" s="1"/>
      <c r="F10" s="1"/>
      <c r="G10" s="1"/>
      <c r="H10" s="1"/>
    </row>
    <row r="11" ht="22.5" customHeight="1">
      <c r="A11" s="1" t="str">
        <f>'Настройки'!B24</f>
        <v>Интерес команды</v>
      </c>
      <c r="B11" s="12"/>
      <c r="C11" s="1"/>
      <c r="D11" s="1"/>
      <c r="E11" s="1"/>
      <c r="F11" s="1"/>
      <c r="G11" s="1"/>
      <c r="H11" s="1"/>
    </row>
    <row r="12" ht="22.5" customHeight="1">
      <c r="A12" s="1"/>
      <c r="B12" s="1"/>
      <c r="C12" s="1"/>
      <c r="D12" s="1"/>
      <c r="E12" s="1"/>
      <c r="F12" s="1"/>
      <c r="G12" s="1"/>
      <c r="H12" s="1"/>
    </row>
    <row r="13" ht="54.0" customHeight="1">
      <c r="A13" s="3" t="s">
        <v>105</v>
      </c>
      <c r="B13" s="3" t="str">
        <f>'Настройки'!B21</f>
        <v>Практическая полезность</v>
      </c>
      <c r="C13" s="3" t="str">
        <f>'Настройки'!B22</f>
        <v>Простота реализации</v>
      </c>
      <c r="D13" s="3" t="str">
        <f>'Настройки'!B23</f>
        <v>Удобство оценки и планирования</v>
      </c>
      <c r="E13" s="3" t="str">
        <f>'Настройки'!B24</f>
        <v>Интерес команды</v>
      </c>
      <c r="F13" s="1"/>
      <c r="G13" s="1"/>
      <c r="H13" s="1"/>
    </row>
    <row r="14" ht="22.5" customHeight="1">
      <c r="A14" s="1" t="str">
        <f>'Настройки'!B14</f>
        <v>Детейлинг-центр</v>
      </c>
      <c r="B14" s="12"/>
      <c r="C14" s="12"/>
      <c r="D14" s="12"/>
      <c r="E14" s="12"/>
      <c r="F14" s="1"/>
      <c r="G14" s="1"/>
      <c r="H14" s="1"/>
    </row>
    <row r="15" ht="22.5" customHeight="1">
      <c r="A15" s="1" t="str">
        <f>'Настройки'!B15</f>
        <v>Планировщик покупок</v>
      </c>
      <c r="B15" s="12"/>
      <c r="C15" s="12"/>
      <c r="D15" s="12"/>
      <c r="E15" s="12"/>
      <c r="F15" s="1"/>
      <c r="G15" s="1"/>
      <c r="H15" s="1"/>
    </row>
    <row r="16" ht="22.5" customHeight="1">
      <c r="A16" s="1" t="str">
        <f>'Настройки'!B16</f>
        <v>Концепция 3</v>
      </c>
      <c r="B16" s="12"/>
      <c r="C16" s="12"/>
      <c r="D16" s="12"/>
      <c r="E16" s="12"/>
      <c r="F16" s="1"/>
      <c r="G16" s="1"/>
      <c r="H16" s="1"/>
    </row>
    <row r="17" ht="22.5" customHeight="1">
      <c r="A17" s="1" t="str">
        <f>'Настройки'!B17</f>
        <v>Концепция 4</v>
      </c>
      <c r="B17" s="12"/>
      <c r="C17" s="12"/>
      <c r="D17" s="12"/>
      <c r="E17" s="12"/>
      <c r="F17" s="1"/>
      <c r="G17" s="1"/>
      <c r="H17" s="1"/>
    </row>
    <row r="18" ht="22.5" customHeight="1">
      <c r="A18" s="1"/>
      <c r="B18" s="1"/>
      <c r="C18" s="1"/>
      <c r="D18" s="1"/>
      <c r="E18" s="1"/>
      <c r="F18" s="1"/>
      <c r="G18" s="1"/>
      <c r="H18" s="1"/>
    </row>
    <row r="19" ht="22.5" customHeight="1">
      <c r="A19" s="1" t="s">
        <v>152</v>
      </c>
      <c r="B19" s="1">
        <f>COUNT(B8:B11,B14:E17)</f>
        <v>0</v>
      </c>
      <c r="C19" s="1"/>
      <c r="D19" s="1"/>
      <c r="E19" s="1"/>
      <c r="F19" s="1"/>
      <c r="G19" s="1"/>
      <c r="H19" s="1"/>
    </row>
    <row r="20" ht="22.5" customHeight="1">
      <c r="A20" s="1"/>
      <c r="B20" s="1"/>
      <c r="C20" s="1"/>
      <c r="D20" s="1"/>
      <c r="E20" s="1"/>
      <c r="F20" s="1"/>
      <c r="G20" s="1"/>
      <c r="H20" s="1"/>
    </row>
    <row r="21" ht="22.5" customHeight="1">
      <c r="A21" s="1" t="s">
        <v>155</v>
      </c>
      <c r="B21" s="1"/>
      <c r="C21" s="1"/>
      <c r="D21" s="1"/>
      <c r="E21" s="1"/>
      <c r="F21" s="1"/>
      <c r="G21" s="1"/>
      <c r="H21" s="1"/>
    </row>
    <row r="22" ht="22.5" customHeight="1">
      <c r="A22" s="1" t="s">
        <v>156</v>
      </c>
      <c r="B22" s="1"/>
      <c r="C22" s="1"/>
      <c r="D22" s="1"/>
      <c r="E22" s="1"/>
      <c r="F22" s="1"/>
      <c r="G22" s="1"/>
      <c r="H22" s="1"/>
    </row>
    <row r="23" ht="22.5" customHeight="1">
      <c r="A23" s="1"/>
      <c r="B23" s="1"/>
      <c r="C23" s="1"/>
      <c r="D23" s="1"/>
      <c r="E23" s="1"/>
      <c r="F23" s="1"/>
      <c r="G23" s="1"/>
      <c r="H23" s="1"/>
    </row>
    <row r="24" ht="22.5" customHeight="1">
      <c r="A24" s="13" t="s">
        <v>157</v>
      </c>
      <c r="B24" s="13"/>
      <c r="C24" s="13"/>
      <c r="D24" s="13"/>
      <c r="E24" s="13"/>
      <c r="F24" s="1"/>
      <c r="G24" s="1"/>
      <c r="H24" s="1"/>
    </row>
    <row r="25" ht="54.0" customHeight="1">
      <c r="A25" s="3" t="s">
        <v>158</v>
      </c>
      <c r="B25" s="3" t="str">
        <f>'Настройки'!B21</f>
        <v>Практическая полезность</v>
      </c>
      <c r="C25" s="3" t="str">
        <f>'Настройки'!B22</f>
        <v>Простота реализации</v>
      </c>
      <c r="D25" s="3" t="str">
        <f>'Настройки'!B23</f>
        <v>Удобство оценки и планирования</v>
      </c>
      <c r="E25" s="3" t="str">
        <f>'Настройки'!B24</f>
        <v>Интерес команды</v>
      </c>
      <c r="F25" s="1"/>
      <c r="G25" s="1"/>
      <c r="H25" s="1"/>
    </row>
    <row r="26" ht="36.0" customHeight="1">
      <c r="A26" s="13" t="str">
        <f>'Настройки'!B21</f>
        <v>Практическая полезность</v>
      </c>
      <c r="B26" s="13">
        <v>1.0</v>
      </c>
      <c r="C26" s="18"/>
      <c r="D26" s="18"/>
      <c r="E26" s="18"/>
      <c r="F26" s="1"/>
      <c r="G26" s="1"/>
      <c r="H26" s="1"/>
    </row>
    <row r="27" ht="36.0" customHeight="1">
      <c r="A27" s="13" t="str">
        <f>'Настройки'!B22</f>
        <v>Простота реализации</v>
      </c>
      <c r="B27" s="13" t="str">
        <f>IF(COUNT(C26)=0,"",1/C26)</f>
        <v/>
      </c>
      <c r="C27" s="13">
        <v>1.0</v>
      </c>
      <c r="D27" s="18"/>
      <c r="E27" s="18"/>
      <c r="F27" s="1"/>
      <c r="G27" s="1"/>
      <c r="H27" s="1"/>
    </row>
    <row r="28" ht="36.0" customHeight="1">
      <c r="A28" s="13" t="str">
        <f>'Настройки'!B23</f>
        <v>Удобство оценки и планирования</v>
      </c>
      <c r="B28" s="13" t="str">
        <f>IF(COUNT(D26)=0,"",1/D26)</f>
        <v/>
      </c>
      <c r="C28" s="13" t="str">
        <f>IF(COUNT(D27)=0,"",1/D27)</f>
        <v/>
      </c>
      <c r="D28" s="13">
        <v>1.0</v>
      </c>
      <c r="E28" s="18"/>
      <c r="F28" s="1"/>
      <c r="G28" s="1"/>
      <c r="H28" s="1"/>
    </row>
    <row r="29" ht="36.0" customHeight="1">
      <c r="A29" s="13" t="str">
        <f>'Настройки'!B24</f>
        <v>Интерес команды</v>
      </c>
      <c r="B29" s="13" t="str">
        <f>IF(COUNT(E26)=0,"",1/E26)</f>
        <v/>
      </c>
      <c r="C29" s="13" t="str">
        <f>IF(COUNT(E27)=0,"",1/E27)</f>
        <v/>
      </c>
      <c r="D29" s="13" t="str">
        <f>IF(COUNT(E28)=0,"",1/E28)</f>
        <v/>
      </c>
      <c r="E29" s="13">
        <v>1.0</v>
      </c>
      <c r="F29" s="1"/>
      <c r="G29" s="1"/>
      <c r="H29" s="1"/>
    </row>
    <row r="30" ht="22.5" customHeight="1">
      <c r="A30" s="13"/>
      <c r="B30" s="13"/>
      <c r="C30" s="13"/>
      <c r="D30" s="13"/>
      <c r="E30" s="13"/>
      <c r="F30" s="1"/>
      <c r="G30" s="1"/>
      <c r="H30" s="1"/>
    </row>
    <row r="31" ht="22.5" customHeight="1">
      <c r="A31" s="13" t="s">
        <v>160</v>
      </c>
      <c r="B31" s="19" t="str">
        <f>IF(COUNT('МАИ'!B238)=0,"",'МАИ'!B238)</f>
        <v/>
      </c>
      <c r="C31" s="13" t="str">
        <f>IF(COUNT(B31)=0,"Нет оценок",IF(B31&lt;='Настройки'!$B$31,"Согласовано","Пересмотреть"))</f>
        <v>Нет оценок</v>
      </c>
      <c r="D31" s="13"/>
      <c r="E31" s="13"/>
      <c r="F31" s="1"/>
      <c r="G31" s="1"/>
      <c r="H31" s="1"/>
    </row>
    <row r="32" ht="22.5" customHeight="1">
      <c r="A32" s="13"/>
      <c r="B32" s="13"/>
      <c r="C32" s="13"/>
      <c r="D32" s="13"/>
      <c r="E32" s="13"/>
      <c r="F32" s="1"/>
      <c r="G32" s="1"/>
      <c r="H32" s="1"/>
    </row>
    <row r="33" ht="22.5" customHeight="1">
      <c r="A33" s="13"/>
      <c r="B33" s="13"/>
      <c r="C33" s="13"/>
      <c r="D33" s="13"/>
      <c r="E33" s="13"/>
      <c r="F33" s="1"/>
      <c r="G33" s="1"/>
      <c r="H33" s="1"/>
    </row>
    <row r="34" ht="22.5" customHeight="1">
      <c r="A34" s="13"/>
      <c r="B34" s="13"/>
      <c r="C34" s="13"/>
      <c r="D34" s="13"/>
      <c r="E34" s="13"/>
      <c r="F34" s="1"/>
      <c r="G34" s="1"/>
      <c r="H34" s="1"/>
    </row>
    <row r="35" ht="22.5" customHeight="1">
      <c r="A35" s="13"/>
      <c r="B35" s="13"/>
      <c r="C35" s="13"/>
      <c r="D35" s="13"/>
      <c r="E35" s="13"/>
      <c r="F35" s="1"/>
      <c r="G35" s="1"/>
      <c r="H35" s="1"/>
    </row>
    <row r="36" ht="22.5" customHeight="1">
      <c r="A36" s="13" t="s">
        <v>161</v>
      </c>
      <c r="B36" s="13" t="str">
        <f>'Настройки'!B21</f>
        <v>Практическая полезность</v>
      </c>
      <c r="C36" s="13"/>
      <c r="D36" s="13"/>
      <c r="E36" s="13"/>
      <c r="F36" s="1"/>
      <c r="G36" s="1"/>
      <c r="H36" s="1"/>
    </row>
    <row r="37" ht="54.0" customHeight="1">
      <c r="A37" s="3" t="s">
        <v>158</v>
      </c>
      <c r="B37" s="3" t="str">
        <f>'Настройки'!B14</f>
        <v>Детейлинг-центр</v>
      </c>
      <c r="C37" s="3" t="str">
        <f>'Настройки'!B15</f>
        <v>Планировщик покупок</v>
      </c>
      <c r="D37" s="3" t="str">
        <f>'Настройки'!B16</f>
        <v>Концепция 3</v>
      </c>
      <c r="E37" s="3" t="str">
        <f>'Настройки'!B17</f>
        <v>Концепция 4</v>
      </c>
      <c r="F37" s="1"/>
      <c r="G37" s="1"/>
      <c r="H37" s="1"/>
    </row>
    <row r="38" ht="36.0" customHeight="1">
      <c r="A38" s="13" t="str">
        <f>'Настройки'!B14</f>
        <v>Детейлинг-центр</v>
      </c>
      <c r="B38" s="13">
        <v>1.0</v>
      </c>
      <c r="C38" s="18"/>
      <c r="D38" s="18"/>
      <c r="E38" s="18"/>
      <c r="F38" s="1"/>
      <c r="G38" s="1"/>
      <c r="H38" s="1"/>
    </row>
    <row r="39" ht="36.0" customHeight="1">
      <c r="A39" s="13" t="str">
        <f>'Настройки'!B15</f>
        <v>Планировщик покупок</v>
      </c>
      <c r="B39" s="13" t="str">
        <f>IF(COUNT(C38)=0,"",1/C38)</f>
        <v/>
      </c>
      <c r="C39" s="13">
        <v>1.0</v>
      </c>
      <c r="D39" s="18"/>
      <c r="E39" s="18"/>
      <c r="F39" s="1"/>
      <c r="G39" s="1"/>
      <c r="H39" s="1"/>
    </row>
    <row r="40" ht="36.0" customHeight="1">
      <c r="A40" s="13" t="str">
        <f>'Настройки'!B16</f>
        <v>Концепция 3</v>
      </c>
      <c r="B40" s="13" t="str">
        <f>IF(COUNT(D38)=0,"",1/D38)</f>
        <v/>
      </c>
      <c r="C40" s="13" t="str">
        <f>IF(COUNT(D39)=0,"",1/D39)</f>
        <v/>
      </c>
      <c r="D40" s="13">
        <v>1.0</v>
      </c>
      <c r="E40" s="18"/>
      <c r="F40" s="1"/>
      <c r="G40" s="1"/>
      <c r="H40" s="1"/>
    </row>
    <row r="41" ht="36.0" customHeight="1">
      <c r="A41" s="13" t="str">
        <f>'Настройки'!B17</f>
        <v>Концепция 4</v>
      </c>
      <c r="B41" s="13" t="str">
        <f>IF(COUNT(E38)=0,"",1/E38)</f>
        <v/>
      </c>
      <c r="C41" s="13" t="str">
        <f>IF(COUNT(E39)=0,"",1/E39)</f>
        <v/>
      </c>
      <c r="D41" s="13" t="str">
        <f>IF(COUNT(E40)=0,"",1/E40)</f>
        <v/>
      </c>
      <c r="E41" s="13">
        <v>1.0</v>
      </c>
      <c r="F41" s="1"/>
      <c r="G41" s="1"/>
      <c r="H41" s="1"/>
    </row>
    <row r="42" ht="22.5" customHeight="1">
      <c r="A42" s="13"/>
      <c r="B42" s="13"/>
      <c r="C42" s="13"/>
      <c r="D42" s="13"/>
      <c r="E42" s="13"/>
      <c r="F42" s="1"/>
      <c r="G42" s="1"/>
      <c r="H42" s="1"/>
    </row>
    <row r="43" ht="22.5" customHeight="1">
      <c r="A43" s="13" t="s">
        <v>160</v>
      </c>
      <c r="B43" s="19" t="str">
        <f>IF(COUNT('МАИ'!B252)=0,"",'МАИ'!B252)</f>
        <v/>
      </c>
      <c r="C43" s="13" t="str">
        <f>IF(COUNT(B43)=0,"Нет оценок",IF(B43&lt;='Настройки'!$B$31,"Согласовано","Пересмотреть"))</f>
        <v>Нет оценок</v>
      </c>
      <c r="D43" s="13"/>
      <c r="E43" s="13"/>
      <c r="F43" s="1"/>
      <c r="G43" s="1"/>
      <c r="H43" s="1"/>
    </row>
    <row r="44" ht="22.5" customHeight="1">
      <c r="A44" s="13"/>
      <c r="B44" s="13"/>
      <c r="C44" s="13"/>
      <c r="D44" s="13"/>
      <c r="E44" s="13"/>
      <c r="F44" s="1"/>
      <c r="G44" s="1"/>
      <c r="H44" s="1"/>
    </row>
    <row r="45" ht="22.5" customHeight="1">
      <c r="A45" s="13"/>
      <c r="B45" s="13"/>
      <c r="C45" s="13"/>
      <c r="D45" s="13"/>
      <c r="E45" s="13"/>
      <c r="F45" s="1"/>
      <c r="G45" s="1"/>
      <c r="H45" s="1"/>
    </row>
    <row r="46" ht="22.5" customHeight="1">
      <c r="A46" s="13"/>
      <c r="B46" s="13"/>
      <c r="C46" s="13"/>
      <c r="D46" s="13"/>
      <c r="E46" s="13"/>
      <c r="F46" s="1"/>
      <c r="G46" s="1"/>
      <c r="H46" s="1"/>
    </row>
    <row r="47" ht="22.5" customHeight="1">
      <c r="A47" s="13"/>
      <c r="B47" s="13"/>
      <c r="C47" s="13"/>
      <c r="D47" s="13"/>
      <c r="E47" s="13"/>
      <c r="F47" s="1"/>
      <c r="G47" s="1"/>
      <c r="H47" s="1"/>
    </row>
    <row r="48" ht="22.5" customHeight="1">
      <c r="A48" s="13" t="s">
        <v>163</v>
      </c>
      <c r="B48" s="13" t="str">
        <f>'Настройки'!B22</f>
        <v>Простота реализации</v>
      </c>
      <c r="C48" s="13"/>
      <c r="D48" s="13"/>
      <c r="E48" s="13"/>
      <c r="F48" s="1"/>
      <c r="G48" s="1"/>
      <c r="H48" s="1"/>
    </row>
    <row r="49" ht="54.0" customHeight="1">
      <c r="A49" s="3" t="s">
        <v>158</v>
      </c>
      <c r="B49" s="3" t="str">
        <f>'Настройки'!B14</f>
        <v>Детейлинг-центр</v>
      </c>
      <c r="C49" s="3" t="str">
        <f>'Настройки'!B15</f>
        <v>Планировщик покупок</v>
      </c>
      <c r="D49" s="3" t="str">
        <f>'Настройки'!B16</f>
        <v>Концепция 3</v>
      </c>
      <c r="E49" s="3" t="str">
        <f>'Настройки'!B17</f>
        <v>Концепция 4</v>
      </c>
      <c r="F49" s="1"/>
      <c r="G49" s="1"/>
      <c r="H49" s="1"/>
    </row>
    <row r="50" ht="36.0" customHeight="1">
      <c r="A50" s="13" t="str">
        <f>'Настройки'!B14</f>
        <v>Детейлинг-центр</v>
      </c>
      <c r="B50" s="13">
        <v>1.0</v>
      </c>
      <c r="C50" s="18"/>
      <c r="D50" s="18"/>
      <c r="E50" s="18"/>
      <c r="F50" s="1"/>
      <c r="G50" s="1"/>
      <c r="H50" s="1"/>
    </row>
    <row r="51" ht="36.0" customHeight="1">
      <c r="A51" s="13" t="str">
        <f>'Настройки'!B15</f>
        <v>Планировщик покупок</v>
      </c>
      <c r="B51" s="13" t="str">
        <f>IF(COUNT(C50)=0,"",1/C50)</f>
        <v/>
      </c>
      <c r="C51" s="13">
        <v>1.0</v>
      </c>
      <c r="D51" s="18"/>
      <c r="E51" s="18"/>
      <c r="F51" s="1"/>
      <c r="G51" s="1"/>
      <c r="H51" s="1"/>
    </row>
    <row r="52" ht="36.0" customHeight="1">
      <c r="A52" s="13" t="str">
        <f>'Настройки'!B16</f>
        <v>Концепция 3</v>
      </c>
      <c r="B52" s="13" t="str">
        <f>IF(COUNT(D50)=0,"",1/D50)</f>
        <v/>
      </c>
      <c r="C52" s="13" t="str">
        <f>IF(COUNT(D51)=0,"",1/D51)</f>
        <v/>
      </c>
      <c r="D52" s="13">
        <v>1.0</v>
      </c>
      <c r="E52" s="18"/>
      <c r="F52" s="1"/>
      <c r="G52" s="1"/>
      <c r="H52" s="1"/>
    </row>
    <row r="53" ht="36.0" customHeight="1">
      <c r="A53" s="13" t="str">
        <f>'Настройки'!B17</f>
        <v>Концепция 4</v>
      </c>
      <c r="B53" s="13" t="str">
        <f>IF(COUNT(E50)=0,"",1/E50)</f>
        <v/>
      </c>
      <c r="C53" s="13" t="str">
        <f>IF(COUNT(E51)=0,"",1/E51)</f>
        <v/>
      </c>
      <c r="D53" s="13" t="str">
        <f>IF(COUNT(E52)=0,"",1/E52)</f>
        <v/>
      </c>
      <c r="E53" s="13">
        <v>1.0</v>
      </c>
      <c r="F53" s="1"/>
      <c r="G53" s="1"/>
      <c r="H53" s="1"/>
    </row>
    <row r="54" ht="22.5" customHeight="1">
      <c r="A54" s="13"/>
      <c r="B54" s="13"/>
      <c r="C54" s="13"/>
      <c r="D54" s="13"/>
      <c r="E54" s="13"/>
      <c r="F54" s="1"/>
      <c r="G54" s="1"/>
      <c r="H54" s="1"/>
    </row>
    <row r="55" ht="22.5" customHeight="1">
      <c r="A55" s="13" t="s">
        <v>160</v>
      </c>
      <c r="B55" s="19" t="str">
        <f>IF(COUNT('МАИ'!B266)=0,"",'МАИ'!B266)</f>
        <v/>
      </c>
      <c r="C55" s="13" t="str">
        <f>IF(COUNT(B55)=0,"Нет оценок",IF(B55&lt;='Настройки'!$B$31,"Согласовано","Пересмотреть"))</f>
        <v>Нет оценок</v>
      </c>
      <c r="D55" s="13"/>
      <c r="E55" s="13"/>
      <c r="F55" s="1"/>
      <c r="G55" s="1"/>
      <c r="H55" s="1"/>
    </row>
    <row r="56" ht="22.5" customHeight="1">
      <c r="A56" s="13"/>
      <c r="B56" s="13"/>
      <c r="C56" s="13"/>
      <c r="D56" s="13"/>
      <c r="E56" s="13"/>
      <c r="F56" s="1"/>
      <c r="G56" s="1"/>
      <c r="H56" s="1"/>
    </row>
    <row r="57" ht="22.5" customHeight="1">
      <c r="A57" s="13"/>
      <c r="B57" s="13"/>
      <c r="C57" s="13"/>
      <c r="D57" s="13"/>
      <c r="E57" s="13"/>
      <c r="F57" s="1"/>
      <c r="G57" s="1"/>
      <c r="H57" s="1"/>
    </row>
    <row r="58" ht="22.5" customHeight="1">
      <c r="A58" s="13"/>
      <c r="B58" s="13"/>
      <c r="C58" s="13"/>
      <c r="D58" s="13"/>
      <c r="E58" s="13"/>
      <c r="F58" s="1"/>
      <c r="G58" s="1"/>
      <c r="H58" s="1"/>
    </row>
    <row r="59" ht="22.5" customHeight="1">
      <c r="A59" s="13"/>
      <c r="B59" s="13"/>
      <c r="C59" s="13"/>
      <c r="D59" s="13"/>
      <c r="E59" s="13"/>
      <c r="F59" s="1"/>
      <c r="G59" s="1"/>
      <c r="H59" s="1"/>
    </row>
    <row r="60" ht="22.5" customHeight="1">
      <c r="A60" s="13" t="s">
        <v>164</v>
      </c>
      <c r="B60" s="13" t="str">
        <f>'Настройки'!B23</f>
        <v>Удобство оценки и планирования</v>
      </c>
      <c r="C60" s="13"/>
      <c r="D60" s="13"/>
      <c r="E60" s="13"/>
      <c r="F60" s="1"/>
      <c r="G60" s="1"/>
      <c r="H60" s="1"/>
    </row>
    <row r="61" ht="54.0" customHeight="1">
      <c r="A61" s="3" t="s">
        <v>158</v>
      </c>
      <c r="B61" s="3" t="str">
        <f>'Настройки'!B14</f>
        <v>Детейлинг-центр</v>
      </c>
      <c r="C61" s="3" t="str">
        <f>'Настройки'!B15</f>
        <v>Планировщик покупок</v>
      </c>
      <c r="D61" s="3" t="str">
        <f>'Настройки'!B16</f>
        <v>Концепция 3</v>
      </c>
      <c r="E61" s="3" t="str">
        <f>'Настройки'!B17</f>
        <v>Концепция 4</v>
      </c>
      <c r="F61" s="1"/>
      <c r="G61" s="1"/>
      <c r="H61" s="1"/>
    </row>
    <row r="62" ht="36.0" customHeight="1">
      <c r="A62" s="13" t="str">
        <f>'Настройки'!B14</f>
        <v>Детейлинг-центр</v>
      </c>
      <c r="B62" s="13">
        <v>1.0</v>
      </c>
      <c r="C62" s="18"/>
      <c r="D62" s="18"/>
      <c r="E62" s="18"/>
      <c r="F62" s="1"/>
      <c r="G62" s="1"/>
      <c r="H62" s="1"/>
    </row>
    <row r="63" ht="36.0" customHeight="1">
      <c r="A63" s="13" t="str">
        <f>'Настройки'!B15</f>
        <v>Планировщик покупок</v>
      </c>
      <c r="B63" s="13" t="str">
        <f>IF(COUNT(C62)=0,"",1/C62)</f>
        <v/>
      </c>
      <c r="C63" s="13">
        <v>1.0</v>
      </c>
      <c r="D63" s="18"/>
      <c r="E63" s="18"/>
      <c r="F63" s="1"/>
      <c r="G63" s="1"/>
      <c r="H63" s="1"/>
    </row>
    <row r="64" ht="36.0" customHeight="1">
      <c r="A64" s="13" t="str">
        <f>'Настройки'!B16</f>
        <v>Концепция 3</v>
      </c>
      <c r="B64" s="13" t="str">
        <f>IF(COUNT(D62)=0,"",1/D62)</f>
        <v/>
      </c>
      <c r="C64" s="13" t="str">
        <f>IF(COUNT(D63)=0,"",1/D63)</f>
        <v/>
      </c>
      <c r="D64" s="13">
        <v>1.0</v>
      </c>
      <c r="E64" s="18"/>
      <c r="F64" s="1"/>
      <c r="G64" s="1"/>
      <c r="H64" s="1"/>
    </row>
    <row r="65" ht="36.0" customHeight="1">
      <c r="A65" s="13" t="str">
        <f>'Настройки'!B17</f>
        <v>Концепция 4</v>
      </c>
      <c r="B65" s="13" t="str">
        <f>IF(COUNT(E62)=0,"",1/E62)</f>
        <v/>
      </c>
      <c r="C65" s="13" t="str">
        <f>IF(COUNT(E63)=0,"",1/E63)</f>
        <v/>
      </c>
      <c r="D65" s="13" t="str">
        <f>IF(COUNT(E64)=0,"",1/E64)</f>
        <v/>
      </c>
      <c r="E65" s="13">
        <v>1.0</v>
      </c>
      <c r="F65" s="1"/>
      <c r="G65" s="1"/>
      <c r="H65" s="1"/>
    </row>
    <row r="66" ht="22.5" customHeight="1">
      <c r="A66" s="13"/>
      <c r="B66" s="13"/>
      <c r="C66" s="13"/>
      <c r="D66" s="13"/>
      <c r="E66" s="13"/>
      <c r="F66" s="1"/>
      <c r="G66" s="1"/>
      <c r="H66" s="1"/>
    </row>
    <row r="67" ht="22.5" customHeight="1">
      <c r="A67" s="13" t="s">
        <v>160</v>
      </c>
      <c r="B67" s="19" t="str">
        <f>IF(COUNT('МАИ'!B280)=0,"",'МАИ'!B280)</f>
        <v/>
      </c>
      <c r="C67" s="13" t="str">
        <f>IF(COUNT(B67)=0,"Нет оценок",IF(B67&lt;='Настройки'!$B$31,"Согласовано","Пересмотреть"))</f>
        <v>Нет оценок</v>
      </c>
      <c r="D67" s="13"/>
      <c r="E67" s="13"/>
      <c r="F67" s="1"/>
      <c r="G67" s="1"/>
      <c r="H67" s="1"/>
    </row>
    <row r="68" ht="22.5" customHeight="1">
      <c r="A68" s="13"/>
      <c r="B68" s="13"/>
      <c r="C68" s="13"/>
      <c r="D68" s="13"/>
      <c r="E68" s="13"/>
      <c r="F68" s="1"/>
      <c r="G68" s="1"/>
      <c r="H68" s="1"/>
    </row>
    <row r="69" ht="22.5" customHeight="1">
      <c r="A69" s="13"/>
      <c r="B69" s="13"/>
      <c r="C69" s="13"/>
      <c r="D69" s="13"/>
      <c r="E69" s="13"/>
      <c r="F69" s="1"/>
      <c r="G69" s="1"/>
      <c r="H69" s="1"/>
    </row>
    <row r="70" ht="22.5" customHeight="1">
      <c r="A70" s="13"/>
      <c r="B70" s="13"/>
      <c r="C70" s="13"/>
      <c r="D70" s="13"/>
      <c r="E70" s="13"/>
      <c r="F70" s="1"/>
      <c r="G70" s="1"/>
      <c r="H70" s="1"/>
    </row>
    <row r="71" ht="22.5" customHeight="1">
      <c r="A71" s="13"/>
      <c r="B71" s="13"/>
      <c r="C71" s="13"/>
      <c r="D71" s="13"/>
      <c r="E71" s="13"/>
      <c r="F71" s="1"/>
      <c r="G71" s="1"/>
      <c r="H71" s="1"/>
    </row>
    <row r="72" ht="22.5" customHeight="1">
      <c r="A72" s="13" t="s">
        <v>165</v>
      </c>
      <c r="B72" s="13" t="str">
        <f>'Настройки'!B24</f>
        <v>Интерес команды</v>
      </c>
      <c r="C72" s="13"/>
      <c r="D72" s="13"/>
      <c r="E72" s="13"/>
      <c r="F72" s="1"/>
      <c r="G72" s="1"/>
      <c r="H72" s="1"/>
    </row>
    <row r="73" ht="54.0" customHeight="1">
      <c r="A73" s="3" t="s">
        <v>158</v>
      </c>
      <c r="B73" s="3" t="str">
        <f>'Настройки'!B14</f>
        <v>Детейлинг-центр</v>
      </c>
      <c r="C73" s="3" t="str">
        <f>'Настройки'!B15</f>
        <v>Планировщик покупок</v>
      </c>
      <c r="D73" s="3" t="str">
        <f>'Настройки'!B16</f>
        <v>Концепция 3</v>
      </c>
      <c r="E73" s="3" t="str">
        <f>'Настройки'!B17</f>
        <v>Концепция 4</v>
      </c>
      <c r="F73" s="1"/>
      <c r="G73" s="1"/>
      <c r="H73" s="1"/>
    </row>
    <row r="74" ht="36.0" customHeight="1">
      <c r="A74" s="13" t="str">
        <f>'Настройки'!B14</f>
        <v>Детейлинг-центр</v>
      </c>
      <c r="B74" s="13">
        <v>1.0</v>
      </c>
      <c r="C74" s="18"/>
      <c r="D74" s="18"/>
      <c r="E74" s="18"/>
      <c r="F74" s="1"/>
      <c r="G74" s="1"/>
      <c r="H74" s="1"/>
    </row>
    <row r="75" ht="36.0" customHeight="1">
      <c r="A75" s="13" t="str">
        <f>'Настройки'!B15</f>
        <v>Планировщик покупок</v>
      </c>
      <c r="B75" s="13" t="str">
        <f>IF(COUNT(C74)=0,"",1/C74)</f>
        <v/>
      </c>
      <c r="C75" s="13">
        <v>1.0</v>
      </c>
      <c r="D75" s="18"/>
      <c r="E75" s="18"/>
      <c r="F75" s="1"/>
      <c r="G75" s="1"/>
      <c r="H75" s="1"/>
    </row>
    <row r="76" ht="36.0" customHeight="1">
      <c r="A76" s="13" t="str">
        <f>'Настройки'!B16</f>
        <v>Концепция 3</v>
      </c>
      <c r="B76" s="13" t="str">
        <f>IF(COUNT(D74)=0,"",1/D74)</f>
        <v/>
      </c>
      <c r="C76" s="13" t="str">
        <f>IF(COUNT(D75)=0,"",1/D75)</f>
        <v/>
      </c>
      <c r="D76" s="13">
        <v>1.0</v>
      </c>
      <c r="E76" s="18"/>
      <c r="F76" s="1"/>
      <c r="G76" s="1"/>
      <c r="H76" s="1"/>
    </row>
    <row r="77" ht="36.0" customHeight="1">
      <c r="A77" s="13" t="str">
        <f>'Настройки'!B17</f>
        <v>Концепция 4</v>
      </c>
      <c r="B77" s="13" t="str">
        <f>IF(COUNT(E74)=0,"",1/E74)</f>
        <v/>
      </c>
      <c r="C77" s="13" t="str">
        <f>IF(COUNT(E75)=0,"",1/E75)</f>
        <v/>
      </c>
      <c r="D77" s="13" t="str">
        <f>IF(COUNT(E76)=0,"",1/E76)</f>
        <v/>
      </c>
      <c r="E77" s="13">
        <v>1.0</v>
      </c>
      <c r="F77" s="1"/>
      <c r="G77" s="1"/>
      <c r="H77" s="1"/>
    </row>
    <row r="78" ht="22.5" customHeight="1">
      <c r="A78" s="13"/>
      <c r="B78" s="13"/>
      <c r="C78" s="13"/>
      <c r="D78" s="13"/>
      <c r="E78" s="13"/>
      <c r="F78" s="1"/>
      <c r="G78" s="1"/>
      <c r="H78" s="1"/>
    </row>
    <row r="79" ht="22.5" customHeight="1">
      <c r="A79" s="13" t="s">
        <v>160</v>
      </c>
      <c r="B79" s="19" t="str">
        <f>IF(COUNT('МАИ'!B294)=0,"",'МАИ'!B294)</f>
        <v/>
      </c>
      <c r="C79" s="13" t="str">
        <f>IF(COUNT(B79)=0,"Нет оценок",IF(B79&lt;='Настройки'!$B$31,"Согласовано","Пересмотреть"))</f>
        <v>Нет оценок</v>
      </c>
      <c r="D79" s="13"/>
      <c r="E79" s="13"/>
      <c r="F79" s="1"/>
      <c r="G79" s="1"/>
      <c r="H79" s="1"/>
    </row>
    <row r="80" ht="22.5" customHeight="1">
      <c r="A80" s="13"/>
      <c r="B80" s="13"/>
      <c r="C80" s="13"/>
      <c r="D80" s="13"/>
      <c r="E80" s="13"/>
      <c r="F80" s="1"/>
      <c r="G80" s="1"/>
      <c r="H80" s="1"/>
    </row>
    <row r="81" ht="22.5" customHeight="1">
      <c r="A81" s="13"/>
      <c r="B81" s="13"/>
      <c r="C81" s="13"/>
      <c r="D81" s="13"/>
      <c r="E81" s="13"/>
      <c r="F81" s="1"/>
      <c r="G81" s="1"/>
      <c r="H81" s="1"/>
    </row>
    <row r="82" ht="22.5" customHeight="1">
      <c r="A82" s="13"/>
      <c r="B82" s="13"/>
      <c r="C82" s="13"/>
      <c r="D82" s="13"/>
      <c r="E82" s="13"/>
      <c r="F82" s="1"/>
      <c r="G82" s="1"/>
      <c r="H82" s="1"/>
    </row>
    <row r="83" ht="22.5" customHeight="1">
      <c r="A83" s="13"/>
      <c r="B83" s="13"/>
      <c r="C83" s="13"/>
      <c r="D83" s="13"/>
      <c r="E83" s="13"/>
      <c r="F83" s="1"/>
      <c r="G83" s="1"/>
      <c r="H83" s="1"/>
    </row>
    <row r="84" ht="22.5" customHeight="1">
      <c r="A84" s="1"/>
      <c r="B84" s="1"/>
      <c r="C84" s="1"/>
      <c r="D84" s="1"/>
      <c r="E84" s="1"/>
      <c r="F84" s="1"/>
      <c r="G84" s="1"/>
      <c r="H84" s="1"/>
    </row>
    <row r="85" ht="22.5" customHeight="1">
      <c r="A85" s="1"/>
      <c r="B85" s="1"/>
      <c r="C85" s="1"/>
      <c r="D85" s="1"/>
      <c r="E85" s="1"/>
      <c r="F85" s="1"/>
      <c r="G85" s="1"/>
      <c r="H85" s="1"/>
    </row>
    <row r="86" ht="22.5" customHeight="1">
      <c r="A86" s="1"/>
      <c r="B86" s="1"/>
      <c r="C86" s="1"/>
      <c r="D86" s="1"/>
      <c r="E86" s="1"/>
      <c r="F86" s="1"/>
      <c r="G86" s="1"/>
      <c r="H86" s="1"/>
    </row>
    <row r="87" ht="22.5" customHeight="1">
      <c r="A87" s="1"/>
      <c r="B87" s="1"/>
      <c r="C87" s="1"/>
      <c r="D87" s="1"/>
      <c r="E87" s="1"/>
      <c r="F87" s="1"/>
      <c r="G87" s="1"/>
      <c r="H87" s="1"/>
    </row>
    <row r="88" ht="22.5" customHeight="1">
      <c r="A88" s="1"/>
      <c r="B88" s="1"/>
      <c r="C88" s="1"/>
      <c r="D88" s="1"/>
      <c r="E88" s="1"/>
      <c r="F88" s="1"/>
      <c r="G88" s="1"/>
      <c r="H88" s="1"/>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decimal" allowBlank="1" sqref="C26:E26 D27:E27 E28 C38:E38 D39:E39 E40 C50:E50 D51:E51 E52 C62:E62 D63:E63 E64 C74:E74 D75:E75 E76">
      <formula1>0.1111111111111111</formula1>
      <formula2>9.0</formula2>
    </dataValidation>
    <dataValidation type="decimal" allowBlank="1" sqref="B8:B11 B14:E17">
      <formula1>1.0</formula1>
      <formula2>9.0</formula2>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5" width="17.25"/>
    <col customWidth="1" min="6" max="8" width="12.0"/>
    <col customWidth="1" min="9" max="26" width="8.63"/>
  </cols>
  <sheetData>
    <row r="1" ht="22.5" customHeight="1">
      <c r="A1" s="1"/>
      <c r="B1" s="1"/>
      <c r="C1" s="1"/>
      <c r="D1" s="1"/>
      <c r="E1" s="1"/>
      <c r="F1" s="1"/>
      <c r="G1" s="1"/>
      <c r="H1" s="1"/>
    </row>
    <row r="2" ht="31.5" customHeight="1">
      <c r="A2" s="2" t="s">
        <v>162</v>
      </c>
      <c r="B2" s="1"/>
      <c r="C2" s="1"/>
      <c r="D2" s="1"/>
      <c r="E2" s="1"/>
      <c r="F2" s="1"/>
      <c r="G2" s="1"/>
      <c r="H2" s="1"/>
    </row>
    <row r="3" ht="22.5" customHeight="1">
      <c r="A3" s="1"/>
      <c r="B3" s="1"/>
      <c r="C3" s="1"/>
      <c r="D3" s="1"/>
      <c r="E3" s="1"/>
      <c r="F3" s="1"/>
      <c r="G3" s="1"/>
      <c r="H3" s="1"/>
    </row>
    <row r="4" ht="22.5" customHeight="1">
      <c r="A4" s="1" t="s">
        <v>4</v>
      </c>
      <c r="B4" s="1" t="str">
        <f>'Настройки'!B10</f>
        <v>Катаев Максим Игоревич</v>
      </c>
      <c r="C4" s="1"/>
      <c r="D4" s="1"/>
      <c r="E4" s="1"/>
      <c r="F4" s="1"/>
      <c r="G4" s="1"/>
      <c r="H4" s="1"/>
    </row>
    <row r="5" ht="22.5" customHeight="1">
      <c r="A5" s="1" t="s">
        <v>21</v>
      </c>
      <c r="B5" s="1"/>
      <c r="C5" s="1"/>
      <c r="D5" s="1"/>
      <c r="E5" s="1"/>
      <c r="F5" s="1"/>
      <c r="G5" s="1"/>
      <c r="H5" s="1"/>
    </row>
    <row r="6" ht="22.5" customHeight="1">
      <c r="A6" s="1"/>
      <c r="B6" s="1"/>
      <c r="C6" s="1"/>
      <c r="D6" s="1"/>
      <c r="E6" s="1"/>
      <c r="F6" s="1"/>
      <c r="G6" s="1"/>
      <c r="H6" s="1"/>
    </row>
    <row r="7" ht="36.0" customHeight="1">
      <c r="A7" s="3" t="s">
        <v>23</v>
      </c>
      <c r="B7" s="3" t="s">
        <v>25</v>
      </c>
      <c r="C7" s="1"/>
      <c r="D7" s="1"/>
      <c r="E7" s="1"/>
      <c r="F7" s="1"/>
      <c r="G7" s="1"/>
      <c r="H7" s="1"/>
    </row>
    <row r="8" ht="22.5" customHeight="1">
      <c r="A8" s="1" t="str">
        <f>'Настройки'!B21</f>
        <v>Практическая полезность</v>
      </c>
      <c r="B8" s="12"/>
      <c r="C8" s="1"/>
      <c r="D8" s="1"/>
      <c r="E8" s="1"/>
      <c r="F8" s="1"/>
      <c r="G8" s="1"/>
      <c r="H8" s="1"/>
    </row>
    <row r="9" ht="22.5" customHeight="1">
      <c r="A9" s="1" t="str">
        <f>'Настройки'!B22</f>
        <v>Простота реализации</v>
      </c>
      <c r="B9" s="12"/>
      <c r="C9" s="1"/>
      <c r="D9" s="1"/>
      <c r="E9" s="1"/>
      <c r="F9" s="1"/>
      <c r="G9" s="1"/>
      <c r="H9" s="1"/>
    </row>
    <row r="10" ht="22.5" customHeight="1">
      <c r="A10" s="1" t="str">
        <f>'Настройки'!B23</f>
        <v>Удобство оценки и планирования</v>
      </c>
      <c r="B10" s="12"/>
      <c r="C10" s="1"/>
      <c r="D10" s="1"/>
      <c r="E10" s="1"/>
      <c r="F10" s="1"/>
      <c r="G10" s="1"/>
      <c r="H10" s="1"/>
    </row>
    <row r="11" ht="22.5" customHeight="1">
      <c r="A11" s="1" t="str">
        <f>'Настройки'!B24</f>
        <v>Интерес команды</v>
      </c>
      <c r="B11" s="12"/>
      <c r="C11" s="1"/>
      <c r="D11" s="1"/>
      <c r="E11" s="1"/>
      <c r="F11" s="1"/>
      <c r="G11" s="1"/>
      <c r="H11" s="1"/>
    </row>
    <row r="12" ht="22.5" customHeight="1">
      <c r="A12" s="1"/>
      <c r="B12" s="1"/>
      <c r="C12" s="1"/>
      <c r="D12" s="1"/>
      <c r="E12" s="1"/>
      <c r="F12" s="1"/>
      <c r="G12" s="1"/>
      <c r="H12" s="1"/>
    </row>
    <row r="13" ht="54.0" customHeight="1">
      <c r="A13" s="3" t="s">
        <v>105</v>
      </c>
      <c r="B13" s="3" t="str">
        <f>'Настройки'!B21</f>
        <v>Практическая полезность</v>
      </c>
      <c r="C13" s="3" t="str">
        <f>'Настройки'!B22</f>
        <v>Простота реализации</v>
      </c>
      <c r="D13" s="3" t="str">
        <f>'Настройки'!B23</f>
        <v>Удобство оценки и планирования</v>
      </c>
      <c r="E13" s="3" t="str">
        <f>'Настройки'!B24</f>
        <v>Интерес команды</v>
      </c>
      <c r="F13" s="1"/>
      <c r="G13" s="1"/>
      <c r="H13" s="1"/>
    </row>
    <row r="14" ht="22.5" customHeight="1">
      <c r="A14" s="1" t="str">
        <f>'Настройки'!B14</f>
        <v>Детейлинг-центр</v>
      </c>
      <c r="B14" s="12"/>
      <c r="C14" s="12"/>
      <c r="D14" s="12"/>
      <c r="E14" s="12"/>
      <c r="F14" s="1"/>
      <c r="G14" s="1"/>
      <c r="H14" s="1"/>
    </row>
    <row r="15" ht="22.5" customHeight="1">
      <c r="A15" s="1" t="str">
        <f>'Настройки'!B15</f>
        <v>Планировщик покупок</v>
      </c>
      <c r="B15" s="12"/>
      <c r="C15" s="12"/>
      <c r="D15" s="12"/>
      <c r="E15" s="12"/>
      <c r="F15" s="1"/>
      <c r="G15" s="1"/>
      <c r="H15" s="1"/>
    </row>
    <row r="16" ht="22.5" customHeight="1">
      <c r="A16" s="1" t="str">
        <f>'Настройки'!B16</f>
        <v>Концепция 3</v>
      </c>
      <c r="B16" s="12"/>
      <c r="C16" s="12"/>
      <c r="D16" s="12"/>
      <c r="E16" s="12"/>
      <c r="F16" s="1"/>
      <c r="G16" s="1"/>
      <c r="H16" s="1"/>
    </row>
    <row r="17" ht="22.5" customHeight="1">
      <c r="A17" s="1" t="str">
        <f>'Настройки'!B17</f>
        <v>Концепция 4</v>
      </c>
      <c r="B17" s="12"/>
      <c r="C17" s="12"/>
      <c r="D17" s="12"/>
      <c r="E17" s="12"/>
      <c r="F17" s="1"/>
      <c r="G17" s="1"/>
      <c r="H17" s="1"/>
    </row>
    <row r="18" ht="22.5" customHeight="1">
      <c r="A18" s="1"/>
      <c r="B18" s="1"/>
      <c r="C18" s="1"/>
      <c r="D18" s="1"/>
      <c r="E18" s="1"/>
      <c r="F18" s="1"/>
      <c r="G18" s="1"/>
      <c r="H18" s="1"/>
    </row>
    <row r="19" ht="22.5" customHeight="1">
      <c r="A19" s="1" t="s">
        <v>152</v>
      </c>
      <c r="B19" s="1">
        <f>COUNT(B8:B11,B14:E17)</f>
        <v>0</v>
      </c>
      <c r="C19" s="1"/>
      <c r="D19" s="1"/>
      <c r="E19" s="1"/>
      <c r="F19" s="1"/>
      <c r="G19" s="1"/>
      <c r="H19" s="1"/>
    </row>
    <row r="20" ht="22.5" customHeight="1">
      <c r="A20" s="1"/>
      <c r="B20" s="1"/>
      <c r="C20" s="1"/>
      <c r="D20" s="1"/>
      <c r="E20" s="1"/>
      <c r="F20" s="1"/>
      <c r="G20" s="1"/>
      <c r="H20" s="1"/>
    </row>
    <row r="21" ht="22.5" customHeight="1">
      <c r="A21" s="1" t="s">
        <v>155</v>
      </c>
      <c r="B21" s="1"/>
      <c r="C21" s="1"/>
      <c r="D21" s="1"/>
      <c r="E21" s="1"/>
      <c r="F21" s="1"/>
      <c r="G21" s="1"/>
      <c r="H21" s="1"/>
    </row>
    <row r="22" ht="22.5" customHeight="1">
      <c r="A22" s="1" t="s">
        <v>156</v>
      </c>
      <c r="B22" s="1"/>
      <c r="C22" s="1"/>
      <c r="D22" s="1"/>
      <c r="E22" s="1"/>
      <c r="F22" s="1"/>
      <c r="G22" s="1"/>
      <c r="H22" s="1"/>
    </row>
    <row r="23" ht="22.5" customHeight="1">
      <c r="A23" s="1"/>
      <c r="B23" s="1"/>
      <c r="C23" s="1"/>
      <c r="D23" s="1"/>
      <c r="E23" s="1"/>
      <c r="F23" s="1"/>
      <c r="G23" s="1"/>
      <c r="H23" s="1"/>
    </row>
    <row r="24" ht="22.5" customHeight="1">
      <c r="A24" s="13" t="s">
        <v>157</v>
      </c>
      <c r="B24" s="13"/>
      <c r="C24" s="13"/>
      <c r="D24" s="13"/>
      <c r="E24" s="13"/>
      <c r="F24" s="1"/>
      <c r="G24" s="1"/>
      <c r="H24" s="1"/>
    </row>
    <row r="25" ht="54.0" customHeight="1">
      <c r="A25" s="3" t="s">
        <v>158</v>
      </c>
      <c r="B25" s="3" t="str">
        <f>'Настройки'!B21</f>
        <v>Практическая полезность</v>
      </c>
      <c r="C25" s="3" t="str">
        <f>'Настройки'!B22</f>
        <v>Простота реализации</v>
      </c>
      <c r="D25" s="3" t="str">
        <f>'Настройки'!B23</f>
        <v>Удобство оценки и планирования</v>
      </c>
      <c r="E25" s="3" t="str">
        <f>'Настройки'!B24</f>
        <v>Интерес команды</v>
      </c>
      <c r="F25" s="1"/>
      <c r="G25" s="1"/>
      <c r="H25" s="1"/>
    </row>
    <row r="26" ht="36.0" customHeight="1">
      <c r="A26" s="13" t="str">
        <f>'Настройки'!B21</f>
        <v>Практическая полезность</v>
      </c>
      <c r="B26" s="13">
        <v>1.0</v>
      </c>
      <c r="C26" s="18"/>
      <c r="D26" s="18"/>
      <c r="E26" s="18"/>
      <c r="F26" s="1"/>
      <c r="G26" s="1"/>
      <c r="H26" s="1"/>
    </row>
    <row r="27" ht="36.0" customHeight="1">
      <c r="A27" s="13" t="str">
        <f>'Настройки'!B22</f>
        <v>Простота реализации</v>
      </c>
      <c r="B27" s="13" t="str">
        <f>IF(COUNT(C26)=0,"",1/C26)</f>
        <v/>
      </c>
      <c r="C27" s="13">
        <v>1.0</v>
      </c>
      <c r="D27" s="18"/>
      <c r="E27" s="18"/>
      <c r="F27" s="1"/>
      <c r="G27" s="1"/>
      <c r="H27" s="1"/>
    </row>
    <row r="28" ht="36.0" customHeight="1">
      <c r="A28" s="13" t="str">
        <f>'Настройки'!B23</f>
        <v>Удобство оценки и планирования</v>
      </c>
      <c r="B28" s="13" t="str">
        <f>IF(COUNT(D26)=0,"",1/D26)</f>
        <v/>
      </c>
      <c r="C28" s="13" t="str">
        <f>IF(COUNT(D27)=0,"",1/D27)</f>
        <v/>
      </c>
      <c r="D28" s="13">
        <v>1.0</v>
      </c>
      <c r="E28" s="18"/>
      <c r="F28" s="1"/>
      <c r="G28" s="1"/>
      <c r="H28" s="1"/>
    </row>
    <row r="29" ht="36.0" customHeight="1">
      <c r="A29" s="13" t="str">
        <f>'Настройки'!B24</f>
        <v>Интерес команды</v>
      </c>
      <c r="B29" s="13" t="str">
        <f>IF(COUNT(E26)=0,"",1/E26)</f>
        <v/>
      </c>
      <c r="C29" s="13" t="str">
        <f>IF(COUNT(E27)=0,"",1/E27)</f>
        <v/>
      </c>
      <c r="D29" s="13" t="str">
        <f>IF(COUNT(E28)=0,"",1/E28)</f>
        <v/>
      </c>
      <c r="E29" s="13">
        <v>1.0</v>
      </c>
      <c r="F29" s="1"/>
      <c r="G29" s="1"/>
      <c r="H29" s="1"/>
    </row>
    <row r="30" ht="22.5" customHeight="1">
      <c r="A30" s="13"/>
      <c r="B30" s="13"/>
      <c r="C30" s="13"/>
      <c r="D30" s="13"/>
      <c r="E30" s="13"/>
      <c r="F30" s="1"/>
      <c r="G30" s="1"/>
      <c r="H30" s="1"/>
    </row>
    <row r="31" ht="22.5" customHeight="1">
      <c r="A31" s="13" t="s">
        <v>160</v>
      </c>
      <c r="B31" s="19" t="str">
        <f>IF(COUNT('МАИ'!B308)=0,"",'МАИ'!B308)</f>
        <v/>
      </c>
      <c r="C31" s="13" t="str">
        <f>IF(COUNT(B31)=0,"Нет оценок",IF(B31&lt;='Настройки'!$B$31,"Согласовано","Пересмотреть"))</f>
        <v>Нет оценок</v>
      </c>
      <c r="D31" s="13"/>
      <c r="E31" s="13"/>
      <c r="F31" s="1"/>
      <c r="G31" s="1"/>
      <c r="H31" s="1"/>
    </row>
    <row r="32" ht="22.5" customHeight="1">
      <c r="A32" s="13"/>
      <c r="B32" s="13"/>
      <c r="C32" s="13"/>
      <c r="D32" s="13"/>
      <c r="E32" s="13"/>
      <c r="F32" s="1"/>
      <c r="G32" s="1"/>
      <c r="H32" s="1"/>
    </row>
    <row r="33" ht="22.5" customHeight="1">
      <c r="A33" s="13"/>
      <c r="B33" s="13"/>
      <c r="C33" s="13"/>
      <c r="D33" s="13"/>
      <c r="E33" s="13"/>
      <c r="F33" s="1"/>
      <c r="G33" s="1"/>
      <c r="H33" s="1"/>
    </row>
    <row r="34" ht="22.5" customHeight="1">
      <c r="A34" s="13"/>
      <c r="B34" s="13"/>
      <c r="C34" s="13"/>
      <c r="D34" s="13"/>
      <c r="E34" s="13"/>
      <c r="F34" s="1"/>
      <c r="G34" s="1"/>
      <c r="H34" s="1"/>
    </row>
    <row r="35" ht="22.5" customHeight="1">
      <c r="A35" s="13"/>
      <c r="B35" s="13"/>
      <c r="C35" s="13"/>
      <c r="D35" s="13"/>
      <c r="E35" s="13"/>
      <c r="F35" s="1"/>
      <c r="G35" s="1"/>
      <c r="H35" s="1"/>
    </row>
    <row r="36" ht="22.5" customHeight="1">
      <c r="A36" s="13" t="s">
        <v>161</v>
      </c>
      <c r="B36" s="13" t="str">
        <f>'Настройки'!B21</f>
        <v>Практическая полезность</v>
      </c>
      <c r="C36" s="13"/>
      <c r="D36" s="13"/>
      <c r="E36" s="13"/>
      <c r="F36" s="1"/>
      <c r="G36" s="1"/>
      <c r="H36" s="1"/>
    </row>
    <row r="37" ht="54.0" customHeight="1">
      <c r="A37" s="3" t="s">
        <v>158</v>
      </c>
      <c r="B37" s="3" t="str">
        <f>'Настройки'!B14</f>
        <v>Детейлинг-центр</v>
      </c>
      <c r="C37" s="3" t="str">
        <f>'Настройки'!B15</f>
        <v>Планировщик покупок</v>
      </c>
      <c r="D37" s="3" t="str">
        <f>'Настройки'!B16</f>
        <v>Концепция 3</v>
      </c>
      <c r="E37" s="3" t="str">
        <f>'Настройки'!B17</f>
        <v>Концепция 4</v>
      </c>
      <c r="F37" s="1"/>
      <c r="G37" s="1"/>
      <c r="H37" s="1"/>
    </row>
    <row r="38" ht="36.0" customHeight="1">
      <c r="A38" s="13" t="str">
        <f>'Настройки'!B14</f>
        <v>Детейлинг-центр</v>
      </c>
      <c r="B38" s="13">
        <v>1.0</v>
      </c>
      <c r="C38" s="18"/>
      <c r="D38" s="18"/>
      <c r="E38" s="18"/>
      <c r="F38" s="1"/>
      <c r="G38" s="1"/>
      <c r="H38" s="1"/>
    </row>
    <row r="39" ht="36.0" customHeight="1">
      <c r="A39" s="13" t="str">
        <f>'Настройки'!B15</f>
        <v>Планировщик покупок</v>
      </c>
      <c r="B39" s="13" t="str">
        <f>IF(COUNT(C38)=0,"",1/C38)</f>
        <v/>
      </c>
      <c r="C39" s="13">
        <v>1.0</v>
      </c>
      <c r="D39" s="18"/>
      <c r="E39" s="18"/>
      <c r="F39" s="1"/>
      <c r="G39" s="1"/>
      <c r="H39" s="1"/>
    </row>
    <row r="40" ht="36.0" customHeight="1">
      <c r="A40" s="13" t="str">
        <f>'Настройки'!B16</f>
        <v>Концепция 3</v>
      </c>
      <c r="B40" s="13" t="str">
        <f>IF(COUNT(D38)=0,"",1/D38)</f>
        <v/>
      </c>
      <c r="C40" s="13" t="str">
        <f>IF(COUNT(D39)=0,"",1/D39)</f>
        <v/>
      </c>
      <c r="D40" s="13">
        <v>1.0</v>
      </c>
      <c r="E40" s="18"/>
      <c r="F40" s="1"/>
      <c r="G40" s="1"/>
      <c r="H40" s="1"/>
    </row>
    <row r="41" ht="36.0" customHeight="1">
      <c r="A41" s="13" t="str">
        <f>'Настройки'!B17</f>
        <v>Концепция 4</v>
      </c>
      <c r="B41" s="13" t="str">
        <f>IF(COUNT(E38)=0,"",1/E38)</f>
        <v/>
      </c>
      <c r="C41" s="13" t="str">
        <f>IF(COUNT(E39)=0,"",1/E39)</f>
        <v/>
      </c>
      <c r="D41" s="13" t="str">
        <f>IF(COUNT(E40)=0,"",1/E40)</f>
        <v/>
      </c>
      <c r="E41" s="13">
        <v>1.0</v>
      </c>
      <c r="F41" s="1"/>
      <c r="G41" s="1"/>
      <c r="H41" s="1"/>
    </row>
    <row r="42" ht="22.5" customHeight="1">
      <c r="A42" s="13"/>
      <c r="B42" s="13"/>
      <c r="C42" s="13"/>
      <c r="D42" s="13"/>
      <c r="E42" s="13"/>
      <c r="F42" s="1"/>
      <c r="G42" s="1"/>
      <c r="H42" s="1"/>
    </row>
    <row r="43" ht="22.5" customHeight="1">
      <c r="A43" s="13" t="s">
        <v>160</v>
      </c>
      <c r="B43" s="19" t="str">
        <f>IF(COUNT('МАИ'!B322)=0,"",'МАИ'!B322)</f>
        <v/>
      </c>
      <c r="C43" s="13" t="str">
        <f>IF(COUNT(B43)=0,"Нет оценок",IF(B43&lt;='Настройки'!$B$31,"Согласовано","Пересмотреть"))</f>
        <v>Нет оценок</v>
      </c>
      <c r="D43" s="13"/>
      <c r="E43" s="13"/>
      <c r="F43" s="1"/>
      <c r="G43" s="1"/>
      <c r="H43" s="1"/>
    </row>
    <row r="44" ht="22.5" customHeight="1">
      <c r="A44" s="13"/>
      <c r="B44" s="13"/>
      <c r="C44" s="13"/>
      <c r="D44" s="13"/>
      <c r="E44" s="13"/>
      <c r="F44" s="1"/>
      <c r="G44" s="1"/>
      <c r="H44" s="1"/>
    </row>
    <row r="45" ht="22.5" customHeight="1">
      <c r="A45" s="13"/>
      <c r="B45" s="13"/>
      <c r="C45" s="13"/>
      <c r="D45" s="13"/>
      <c r="E45" s="13"/>
      <c r="F45" s="1"/>
      <c r="G45" s="1"/>
      <c r="H45" s="1"/>
    </row>
    <row r="46" ht="22.5" customHeight="1">
      <c r="A46" s="13"/>
      <c r="B46" s="13"/>
      <c r="C46" s="13"/>
      <c r="D46" s="13"/>
      <c r="E46" s="13"/>
      <c r="F46" s="1"/>
      <c r="G46" s="1"/>
      <c r="H46" s="1"/>
    </row>
    <row r="47" ht="22.5" customHeight="1">
      <c r="A47" s="13"/>
      <c r="B47" s="13"/>
      <c r="C47" s="13"/>
      <c r="D47" s="13"/>
      <c r="E47" s="13"/>
      <c r="F47" s="1"/>
      <c r="G47" s="1"/>
      <c r="H47" s="1"/>
    </row>
    <row r="48" ht="22.5" customHeight="1">
      <c r="A48" s="13" t="s">
        <v>163</v>
      </c>
      <c r="B48" s="13" t="str">
        <f>'Настройки'!B22</f>
        <v>Простота реализации</v>
      </c>
      <c r="C48" s="13"/>
      <c r="D48" s="13"/>
      <c r="E48" s="13"/>
      <c r="F48" s="1"/>
      <c r="G48" s="1"/>
      <c r="H48" s="1"/>
    </row>
    <row r="49" ht="54.0" customHeight="1">
      <c r="A49" s="3" t="s">
        <v>158</v>
      </c>
      <c r="B49" s="3" t="str">
        <f>'Настройки'!B14</f>
        <v>Детейлинг-центр</v>
      </c>
      <c r="C49" s="3" t="str">
        <f>'Настройки'!B15</f>
        <v>Планировщик покупок</v>
      </c>
      <c r="D49" s="3" t="str">
        <f>'Настройки'!B16</f>
        <v>Концепция 3</v>
      </c>
      <c r="E49" s="3" t="str">
        <f>'Настройки'!B17</f>
        <v>Концепция 4</v>
      </c>
      <c r="F49" s="1"/>
      <c r="G49" s="1"/>
      <c r="H49" s="1"/>
    </row>
    <row r="50" ht="36.0" customHeight="1">
      <c r="A50" s="13" t="str">
        <f>'Настройки'!B14</f>
        <v>Детейлинг-центр</v>
      </c>
      <c r="B50" s="13">
        <v>1.0</v>
      </c>
      <c r="C50" s="18"/>
      <c r="D50" s="18"/>
      <c r="E50" s="18"/>
      <c r="F50" s="1"/>
      <c r="G50" s="1"/>
      <c r="H50" s="1"/>
    </row>
    <row r="51" ht="36.0" customHeight="1">
      <c r="A51" s="13" t="str">
        <f>'Настройки'!B15</f>
        <v>Планировщик покупок</v>
      </c>
      <c r="B51" s="13" t="str">
        <f>IF(COUNT(C50)=0,"",1/C50)</f>
        <v/>
      </c>
      <c r="C51" s="13">
        <v>1.0</v>
      </c>
      <c r="D51" s="18"/>
      <c r="E51" s="18"/>
      <c r="F51" s="1"/>
      <c r="G51" s="1"/>
      <c r="H51" s="1"/>
    </row>
    <row r="52" ht="36.0" customHeight="1">
      <c r="A52" s="13" t="str">
        <f>'Настройки'!B16</f>
        <v>Концепция 3</v>
      </c>
      <c r="B52" s="13" t="str">
        <f>IF(COUNT(D50)=0,"",1/D50)</f>
        <v/>
      </c>
      <c r="C52" s="13" t="str">
        <f>IF(COUNT(D51)=0,"",1/D51)</f>
        <v/>
      </c>
      <c r="D52" s="13">
        <v>1.0</v>
      </c>
      <c r="E52" s="18"/>
      <c r="F52" s="1"/>
      <c r="G52" s="1"/>
      <c r="H52" s="1"/>
    </row>
    <row r="53" ht="36.0" customHeight="1">
      <c r="A53" s="13" t="str">
        <f>'Настройки'!B17</f>
        <v>Концепция 4</v>
      </c>
      <c r="B53" s="13" t="str">
        <f>IF(COUNT(E50)=0,"",1/E50)</f>
        <v/>
      </c>
      <c r="C53" s="13" t="str">
        <f>IF(COUNT(E51)=0,"",1/E51)</f>
        <v/>
      </c>
      <c r="D53" s="13" t="str">
        <f>IF(COUNT(E52)=0,"",1/E52)</f>
        <v/>
      </c>
      <c r="E53" s="13">
        <v>1.0</v>
      </c>
      <c r="F53" s="1"/>
      <c r="G53" s="1"/>
      <c r="H53" s="1"/>
    </row>
    <row r="54" ht="22.5" customHeight="1">
      <c r="A54" s="13"/>
      <c r="B54" s="13"/>
      <c r="C54" s="13"/>
      <c r="D54" s="13"/>
      <c r="E54" s="13"/>
      <c r="F54" s="1"/>
      <c r="G54" s="1"/>
      <c r="H54" s="1"/>
    </row>
    <row r="55" ht="22.5" customHeight="1">
      <c r="A55" s="13" t="s">
        <v>160</v>
      </c>
      <c r="B55" s="19" t="str">
        <f>IF(COUNT('МАИ'!B336)=0,"",'МАИ'!B336)</f>
        <v/>
      </c>
      <c r="C55" s="13" t="str">
        <f>IF(COUNT(B55)=0,"Нет оценок",IF(B55&lt;='Настройки'!$B$31,"Согласовано","Пересмотреть"))</f>
        <v>Нет оценок</v>
      </c>
      <c r="D55" s="13"/>
      <c r="E55" s="13"/>
      <c r="F55" s="1"/>
      <c r="G55" s="1"/>
      <c r="H55" s="1"/>
    </row>
    <row r="56" ht="22.5" customHeight="1">
      <c r="A56" s="13"/>
      <c r="B56" s="13"/>
      <c r="C56" s="13"/>
      <c r="D56" s="13"/>
      <c r="E56" s="13"/>
      <c r="F56" s="1"/>
      <c r="G56" s="1"/>
      <c r="H56" s="1"/>
    </row>
    <row r="57" ht="22.5" customHeight="1">
      <c r="A57" s="13"/>
      <c r="B57" s="13"/>
      <c r="C57" s="13"/>
      <c r="D57" s="13"/>
      <c r="E57" s="13"/>
      <c r="F57" s="1"/>
      <c r="G57" s="1"/>
      <c r="H57" s="1"/>
    </row>
    <row r="58" ht="22.5" customHeight="1">
      <c r="A58" s="13"/>
      <c r="B58" s="13"/>
      <c r="C58" s="13"/>
      <c r="D58" s="13"/>
      <c r="E58" s="13"/>
      <c r="F58" s="1"/>
      <c r="G58" s="1"/>
      <c r="H58" s="1"/>
    </row>
    <row r="59" ht="22.5" customHeight="1">
      <c r="A59" s="13"/>
      <c r="B59" s="13"/>
      <c r="C59" s="13"/>
      <c r="D59" s="13"/>
      <c r="E59" s="13"/>
      <c r="F59" s="1"/>
      <c r="G59" s="1"/>
      <c r="H59" s="1"/>
    </row>
    <row r="60" ht="22.5" customHeight="1">
      <c r="A60" s="13" t="s">
        <v>164</v>
      </c>
      <c r="B60" s="13" t="str">
        <f>'Настройки'!B23</f>
        <v>Удобство оценки и планирования</v>
      </c>
      <c r="C60" s="13"/>
      <c r="D60" s="13"/>
      <c r="E60" s="13"/>
      <c r="F60" s="1"/>
      <c r="G60" s="1"/>
      <c r="H60" s="1"/>
    </row>
    <row r="61" ht="54.0" customHeight="1">
      <c r="A61" s="3" t="s">
        <v>158</v>
      </c>
      <c r="B61" s="3" t="str">
        <f>'Настройки'!B14</f>
        <v>Детейлинг-центр</v>
      </c>
      <c r="C61" s="3" t="str">
        <f>'Настройки'!B15</f>
        <v>Планировщик покупок</v>
      </c>
      <c r="D61" s="3" t="str">
        <f>'Настройки'!B16</f>
        <v>Концепция 3</v>
      </c>
      <c r="E61" s="3" t="str">
        <f>'Настройки'!B17</f>
        <v>Концепция 4</v>
      </c>
      <c r="F61" s="1"/>
      <c r="G61" s="1"/>
      <c r="H61" s="1"/>
    </row>
    <row r="62" ht="36.0" customHeight="1">
      <c r="A62" s="13" t="str">
        <f>'Настройки'!B14</f>
        <v>Детейлинг-центр</v>
      </c>
      <c r="B62" s="13">
        <v>1.0</v>
      </c>
      <c r="C62" s="18"/>
      <c r="D62" s="18"/>
      <c r="E62" s="18"/>
      <c r="F62" s="1"/>
      <c r="G62" s="1"/>
      <c r="H62" s="1"/>
    </row>
    <row r="63" ht="36.0" customHeight="1">
      <c r="A63" s="13" t="str">
        <f>'Настройки'!B15</f>
        <v>Планировщик покупок</v>
      </c>
      <c r="B63" s="13" t="str">
        <f>IF(COUNT(C62)=0,"",1/C62)</f>
        <v/>
      </c>
      <c r="C63" s="13">
        <v>1.0</v>
      </c>
      <c r="D63" s="18"/>
      <c r="E63" s="18"/>
      <c r="F63" s="1"/>
      <c r="G63" s="1"/>
      <c r="H63" s="1"/>
    </row>
    <row r="64" ht="36.0" customHeight="1">
      <c r="A64" s="13" t="str">
        <f>'Настройки'!B16</f>
        <v>Концепция 3</v>
      </c>
      <c r="B64" s="13" t="str">
        <f>IF(COUNT(D62)=0,"",1/D62)</f>
        <v/>
      </c>
      <c r="C64" s="13" t="str">
        <f>IF(COUNT(D63)=0,"",1/D63)</f>
        <v/>
      </c>
      <c r="D64" s="13">
        <v>1.0</v>
      </c>
      <c r="E64" s="18"/>
      <c r="F64" s="1"/>
      <c r="G64" s="1"/>
      <c r="H64" s="1"/>
    </row>
    <row r="65" ht="36.0" customHeight="1">
      <c r="A65" s="13" t="str">
        <f>'Настройки'!B17</f>
        <v>Концепция 4</v>
      </c>
      <c r="B65" s="13" t="str">
        <f>IF(COUNT(E62)=0,"",1/E62)</f>
        <v/>
      </c>
      <c r="C65" s="13" t="str">
        <f>IF(COUNT(E63)=0,"",1/E63)</f>
        <v/>
      </c>
      <c r="D65" s="13" t="str">
        <f>IF(COUNT(E64)=0,"",1/E64)</f>
        <v/>
      </c>
      <c r="E65" s="13">
        <v>1.0</v>
      </c>
      <c r="F65" s="1"/>
      <c r="G65" s="1"/>
      <c r="H65" s="1"/>
    </row>
    <row r="66" ht="22.5" customHeight="1">
      <c r="A66" s="13"/>
      <c r="B66" s="13"/>
      <c r="C66" s="13"/>
      <c r="D66" s="13"/>
      <c r="E66" s="13"/>
      <c r="F66" s="1"/>
      <c r="G66" s="1"/>
      <c r="H66" s="1"/>
    </row>
    <row r="67" ht="22.5" customHeight="1">
      <c r="A67" s="13" t="s">
        <v>160</v>
      </c>
      <c r="B67" s="19" t="str">
        <f>IF(COUNT('МАИ'!B350)=0,"",'МАИ'!B350)</f>
        <v/>
      </c>
      <c r="C67" s="13" t="str">
        <f>IF(COUNT(B67)=0,"Нет оценок",IF(B67&lt;='Настройки'!$B$31,"Согласовано","Пересмотреть"))</f>
        <v>Нет оценок</v>
      </c>
      <c r="D67" s="13"/>
      <c r="E67" s="13"/>
      <c r="F67" s="1"/>
      <c r="G67" s="1"/>
      <c r="H67" s="1"/>
    </row>
    <row r="68" ht="22.5" customHeight="1">
      <c r="A68" s="13"/>
      <c r="B68" s="13"/>
      <c r="C68" s="13"/>
      <c r="D68" s="13"/>
      <c r="E68" s="13"/>
      <c r="F68" s="1"/>
      <c r="G68" s="1"/>
      <c r="H68" s="1"/>
    </row>
    <row r="69" ht="22.5" customHeight="1">
      <c r="A69" s="13"/>
      <c r="B69" s="13"/>
      <c r="C69" s="13"/>
      <c r="D69" s="13"/>
      <c r="E69" s="13"/>
      <c r="F69" s="1"/>
      <c r="G69" s="1"/>
      <c r="H69" s="1"/>
    </row>
    <row r="70" ht="22.5" customHeight="1">
      <c r="A70" s="13"/>
      <c r="B70" s="13"/>
      <c r="C70" s="13"/>
      <c r="D70" s="13"/>
      <c r="E70" s="13"/>
      <c r="F70" s="1"/>
      <c r="G70" s="1"/>
      <c r="H70" s="1"/>
    </row>
    <row r="71" ht="22.5" customHeight="1">
      <c r="A71" s="13"/>
      <c r="B71" s="13"/>
      <c r="C71" s="13"/>
      <c r="D71" s="13"/>
      <c r="E71" s="13"/>
      <c r="F71" s="1"/>
      <c r="G71" s="1"/>
      <c r="H71" s="1"/>
    </row>
    <row r="72" ht="22.5" customHeight="1">
      <c r="A72" s="13" t="s">
        <v>165</v>
      </c>
      <c r="B72" s="13" t="str">
        <f>'Настройки'!B24</f>
        <v>Интерес команды</v>
      </c>
      <c r="C72" s="13"/>
      <c r="D72" s="13"/>
      <c r="E72" s="13"/>
      <c r="F72" s="1"/>
      <c r="G72" s="1"/>
      <c r="H72" s="1"/>
    </row>
    <row r="73" ht="54.0" customHeight="1">
      <c r="A73" s="3" t="s">
        <v>158</v>
      </c>
      <c r="B73" s="3" t="str">
        <f>'Настройки'!B14</f>
        <v>Детейлинг-центр</v>
      </c>
      <c r="C73" s="3" t="str">
        <f>'Настройки'!B15</f>
        <v>Планировщик покупок</v>
      </c>
      <c r="D73" s="3" t="str">
        <f>'Настройки'!B16</f>
        <v>Концепция 3</v>
      </c>
      <c r="E73" s="3" t="str">
        <f>'Настройки'!B17</f>
        <v>Концепция 4</v>
      </c>
      <c r="F73" s="1"/>
      <c r="G73" s="1"/>
      <c r="H73" s="1"/>
    </row>
    <row r="74" ht="36.0" customHeight="1">
      <c r="A74" s="13" t="str">
        <f>'Настройки'!B14</f>
        <v>Детейлинг-центр</v>
      </c>
      <c r="B74" s="13">
        <v>1.0</v>
      </c>
      <c r="C74" s="18"/>
      <c r="D74" s="18"/>
      <c r="E74" s="18"/>
      <c r="F74" s="1"/>
      <c r="G74" s="1"/>
      <c r="H74" s="1"/>
    </row>
    <row r="75" ht="36.0" customHeight="1">
      <c r="A75" s="13" t="str">
        <f>'Настройки'!B15</f>
        <v>Планировщик покупок</v>
      </c>
      <c r="B75" s="13" t="str">
        <f>IF(COUNT(C74)=0,"",1/C74)</f>
        <v/>
      </c>
      <c r="C75" s="13">
        <v>1.0</v>
      </c>
      <c r="D75" s="18"/>
      <c r="E75" s="18"/>
      <c r="F75" s="1"/>
      <c r="G75" s="1"/>
      <c r="H75" s="1"/>
    </row>
    <row r="76" ht="36.0" customHeight="1">
      <c r="A76" s="13" t="str">
        <f>'Настройки'!B16</f>
        <v>Концепция 3</v>
      </c>
      <c r="B76" s="13" t="str">
        <f>IF(COUNT(D74)=0,"",1/D74)</f>
        <v/>
      </c>
      <c r="C76" s="13" t="str">
        <f>IF(COUNT(D75)=0,"",1/D75)</f>
        <v/>
      </c>
      <c r="D76" s="13">
        <v>1.0</v>
      </c>
      <c r="E76" s="18"/>
      <c r="F76" s="1"/>
      <c r="G76" s="1"/>
      <c r="H76" s="1"/>
    </row>
    <row r="77" ht="36.0" customHeight="1">
      <c r="A77" s="13" t="str">
        <f>'Настройки'!B17</f>
        <v>Концепция 4</v>
      </c>
      <c r="B77" s="13" t="str">
        <f>IF(COUNT(E74)=0,"",1/E74)</f>
        <v/>
      </c>
      <c r="C77" s="13" t="str">
        <f>IF(COUNT(E75)=0,"",1/E75)</f>
        <v/>
      </c>
      <c r="D77" s="13" t="str">
        <f>IF(COUNT(E76)=0,"",1/E76)</f>
        <v/>
      </c>
      <c r="E77" s="13">
        <v>1.0</v>
      </c>
      <c r="F77" s="1"/>
      <c r="G77" s="1"/>
      <c r="H77" s="1"/>
    </row>
    <row r="78" ht="22.5" customHeight="1">
      <c r="A78" s="13"/>
      <c r="B78" s="13"/>
      <c r="C78" s="13"/>
      <c r="D78" s="13"/>
      <c r="E78" s="13"/>
      <c r="F78" s="1"/>
      <c r="G78" s="1"/>
      <c r="H78" s="1"/>
    </row>
    <row r="79" ht="22.5" customHeight="1">
      <c r="A79" s="13" t="s">
        <v>160</v>
      </c>
      <c r="B79" s="19" t="str">
        <f>IF(COUNT('МАИ'!B364)=0,"",'МАИ'!B364)</f>
        <v/>
      </c>
      <c r="C79" s="13" t="str">
        <f>IF(COUNT(B79)=0,"Нет оценок",IF(B79&lt;='Настройки'!$B$31,"Согласовано","Пересмотреть"))</f>
        <v>Нет оценок</v>
      </c>
      <c r="D79" s="13"/>
      <c r="E79" s="13"/>
      <c r="F79" s="1"/>
      <c r="G79" s="1"/>
      <c r="H79" s="1"/>
    </row>
    <row r="80" ht="22.5" customHeight="1">
      <c r="A80" s="13"/>
      <c r="B80" s="13"/>
      <c r="C80" s="13"/>
      <c r="D80" s="13"/>
      <c r="E80" s="13"/>
      <c r="F80" s="1"/>
      <c r="G80" s="1"/>
      <c r="H80" s="1"/>
    </row>
    <row r="81" ht="22.5" customHeight="1">
      <c r="A81" s="13"/>
      <c r="B81" s="13"/>
      <c r="C81" s="13"/>
      <c r="D81" s="13"/>
      <c r="E81" s="13"/>
      <c r="F81" s="1"/>
      <c r="G81" s="1"/>
      <c r="H81" s="1"/>
    </row>
    <row r="82" ht="22.5" customHeight="1">
      <c r="A82" s="13"/>
      <c r="B82" s="13"/>
      <c r="C82" s="13"/>
      <c r="D82" s="13"/>
      <c r="E82" s="13"/>
      <c r="F82" s="1"/>
      <c r="G82" s="1"/>
      <c r="H82" s="1"/>
    </row>
    <row r="83" ht="22.5" customHeight="1">
      <c r="A83" s="13"/>
      <c r="B83" s="13"/>
      <c r="C83" s="13"/>
      <c r="D83" s="13"/>
      <c r="E83" s="13"/>
      <c r="F83" s="1"/>
      <c r="G83" s="1"/>
      <c r="H83" s="1"/>
    </row>
    <row r="84" ht="22.5" customHeight="1">
      <c r="A84" s="1"/>
      <c r="B84" s="1"/>
      <c r="C84" s="1"/>
      <c r="D84" s="1"/>
      <c r="E84" s="1"/>
      <c r="F84" s="1"/>
      <c r="G84" s="1"/>
      <c r="H84" s="1"/>
    </row>
    <row r="85" ht="22.5" customHeight="1">
      <c r="A85" s="1"/>
      <c r="B85" s="1"/>
      <c r="C85" s="1"/>
      <c r="D85" s="1"/>
      <c r="E85" s="1"/>
      <c r="F85" s="1"/>
      <c r="G85" s="1"/>
      <c r="H85" s="1"/>
    </row>
    <row r="86" ht="22.5" customHeight="1">
      <c r="A86" s="1"/>
      <c r="B86" s="1"/>
      <c r="C86" s="1"/>
      <c r="D86" s="1"/>
      <c r="E86" s="1"/>
      <c r="F86" s="1"/>
      <c r="G86" s="1"/>
      <c r="H86" s="1"/>
    </row>
    <row r="87" ht="22.5" customHeight="1">
      <c r="A87" s="1"/>
      <c r="B87" s="1"/>
      <c r="C87" s="1"/>
      <c r="D87" s="1"/>
      <c r="E87" s="1"/>
      <c r="F87" s="1"/>
      <c r="G87" s="1"/>
      <c r="H87" s="1"/>
    </row>
    <row r="88" ht="22.5" customHeight="1">
      <c r="A88" s="1"/>
      <c r="B88" s="1"/>
      <c r="C88" s="1"/>
      <c r="D88" s="1"/>
      <c r="E88" s="1"/>
      <c r="F88" s="1"/>
      <c r="G88" s="1"/>
      <c r="H88" s="1"/>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decimal" allowBlank="1" sqref="C26:E26 D27:E27 E28 C38:E38 D39:E39 E40 C50:E50 D51:E51 E52 C62:E62 D63:E63 E64 C74:E74 D75:E75 E76">
      <formula1>0.1111111111111111</formula1>
      <formula2>9.0</formula2>
    </dataValidation>
    <dataValidation type="decimal" allowBlank="1" sqref="B8:B11 B14:E17">
      <formula1>1.0</formula1>
      <formula2>9.0</formula2>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31.13"/>
    <col customWidth="1" min="3" max="14" width="12.0"/>
    <col customWidth="1" min="15" max="26" width="8.63"/>
  </cols>
  <sheetData>
    <row r="1" ht="22.5" customHeight="1">
      <c r="A1" s="1"/>
      <c r="B1" s="1"/>
      <c r="C1" s="20"/>
      <c r="D1" s="20"/>
      <c r="E1" s="20"/>
      <c r="F1" s="20"/>
      <c r="G1" s="20"/>
      <c r="H1" s="20"/>
      <c r="I1" s="20"/>
      <c r="J1" s="20"/>
      <c r="K1" s="20"/>
      <c r="L1" s="20"/>
      <c r="M1" s="20"/>
      <c r="N1" s="1"/>
    </row>
    <row r="2" ht="31.5" customHeight="1">
      <c r="A2" s="2" t="s">
        <v>166</v>
      </c>
      <c r="B2" s="1"/>
      <c r="C2" s="20"/>
      <c r="D2" s="20"/>
      <c r="E2" s="20"/>
      <c r="F2" s="20"/>
      <c r="G2" s="20"/>
      <c r="H2" s="20"/>
      <c r="I2" s="20"/>
      <c r="J2" s="20"/>
      <c r="K2" s="20"/>
      <c r="L2" s="20"/>
      <c r="M2" s="20"/>
      <c r="N2" s="1"/>
    </row>
    <row r="3" ht="22.5" customHeight="1">
      <c r="A3" s="1"/>
      <c r="B3" s="1"/>
      <c r="C3" s="20"/>
      <c r="D3" s="20"/>
      <c r="E3" s="20"/>
      <c r="F3" s="20"/>
      <c r="G3" s="20"/>
      <c r="H3" s="20"/>
      <c r="I3" s="20"/>
      <c r="J3" s="20"/>
      <c r="K3" s="20"/>
      <c r="L3" s="20"/>
      <c r="M3" s="20"/>
      <c r="N3" s="1"/>
    </row>
    <row r="4" ht="22.5" customHeight="1">
      <c r="A4" s="1" t="s">
        <v>167</v>
      </c>
      <c r="B4" s="1">
        <f>'Эксперт 1'!B19+'Эксперт 2'!B19+'Эксперт 3'!B19+'Эксперт 4'!B19</f>
        <v>4</v>
      </c>
      <c r="C4" s="20"/>
      <c r="D4" s="20"/>
      <c r="E4" s="20"/>
      <c r="F4" s="20"/>
      <c r="G4" s="20"/>
      <c r="H4" s="20"/>
      <c r="I4" s="20"/>
      <c r="J4" s="20"/>
      <c r="K4" s="20"/>
      <c r="L4" s="20"/>
      <c r="M4" s="20"/>
      <c r="N4" s="1"/>
    </row>
    <row r="5" ht="22.5" customHeight="1">
      <c r="A5" s="1"/>
      <c r="B5" s="1"/>
      <c r="C5" s="20"/>
      <c r="D5" s="20"/>
      <c r="E5" s="20"/>
      <c r="F5" s="20"/>
      <c r="G5" s="20"/>
      <c r="H5" s="20"/>
      <c r="I5" s="20"/>
      <c r="J5" s="20"/>
      <c r="K5" s="20"/>
      <c r="L5" s="20"/>
      <c r="M5" s="20"/>
      <c r="N5" s="1"/>
    </row>
    <row r="6" ht="36.0" customHeight="1">
      <c r="A6" s="3" t="s">
        <v>168</v>
      </c>
      <c r="B6" s="3" t="s">
        <v>41</v>
      </c>
      <c r="C6" s="21" t="s">
        <v>169</v>
      </c>
      <c r="D6" s="21" t="s">
        <v>170</v>
      </c>
      <c r="E6" s="21" t="s">
        <v>171</v>
      </c>
      <c r="F6" s="21" t="s">
        <v>172</v>
      </c>
      <c r="G6" s="21" t="s">
        <v>173</v>
      </c>
      <c r="H6" s="21" t="s">
        <v>174</v>
      </c>
      <c r="I6" s="20"/>
      <c r="J6" s="20"/>
      <c r="K6" s="20"/>
      <c r="L6" s="20"/>
      <c r="M6" s="20"/>
      <c r="N6" s="1"/>
    </row>
    <row r="7" ht="39.75" customHeight="1">
      <c r="A7" s="13" t="str">
        <f>'Настройки'!B21</f>
        <v>Практическая полезность</v>
      </c>
      <c r="B7" s="13" t="str">
        <f>'Настройки'!C21</f>
        <v>MAX</v>
      </c>
      <c r="C7" s="20" t="str">
        <f>IF(COUNT('Эксперт 1'!B8,'Эксперт 2'!B8,'Эксперт 3'!B8,'Эксперт 4'!B8)&lt;4,"",MIN('Эксперт 1'!B8,'Эксперт 2'!B8,'Эксперт 3'!B8,'Эксперт 4'!B8))</f>
        <v/>
      </c>
      <c r="D7" s="20" t="str">
        <f>IF(COUNT('Эксперт 1'!B8,'Эксперт 2'!B8,'Эксперт 3'!B8,'Эксперт 4'!B8)&lt;4,"",MEDIAN('Эксперт 1'!B8,'Эксперт 2'!B8,'Эксперт 3'!B8,'Эксперт 4'!B8))</f>
        <v/>
      </c>
      <c r="E7" s="20" t="str">
        <f>IF(COUNT('Эксперт 1'!B8,'Эксперт 2'!B8,'Эксперт 3'!B8,'Эксперт 4'!B8)&lt;4,"",MAX('Эксперт 1'!B8,'Эксперт 2'!B8,'Эксперт 3'!B8,'Эксперт 4'!B8))</f>
        <v/>
      </c>
      <c r="F7" s="20" t="str">
        <f>IF(C7="","",C7/'Настройки'!$B$30)</f>
        <v/>
      </c>
      <c r="G7" s="20" t="str">
        <f>IF(D7="","",D7/'Настройки'!$B$30)</f>
        <v/>
      </c>
      <c r="H7" s="20" t="str">
        <f>IF(E7="","",E7/'Настройки'!$B$30)</f>
        <v/>
      </c>
      <c r="I7" s="20"/>
      <c r="J7" s="20"/>
      <c r="K7" s="20"/>
      <c r="L7" s="20"/>
      <c r="M7" s="20"/>
      <c r="N7" s="1"/>
    </row>
    <row r="8" ht="39.75" customHeight="1">
      <c r="A8" s="13" t="str">
        <f>'Настройки'!B22</f>
        <v>Простота реализации</v>
      </c>
      <c r="B8" s="13" t="str">
        <f>'Настройки'!C22</f>
        <v>MAX</v>
      </c>
      <c r="C8" s="20" t="str">
        <f>IF(COUNT('Эксперт 1'!B9,'Эксперт 2'!B9,'Эксперт 3'!B9,'Эксперт 4'!B9)&lt;4,"",MIN('Эксперт 1'!B9,'Эксперт 2'!B9,'Эксперт 3'!B9,'Эксперт 4'!B9))</f>
        <v/>
      </c>
      <c r="D8" s="20" t="str">
        <f>IF(COUNT('Эксперт 1'!B9,'Эксперт 2'!B9,'Эксперт 3'!B9,'Эксперт 4'!B9)&lt;4,"",MEDIAN('Эксперт 1'!B9,'Эксперт 2'!B9,'Эксперт 3'!B9,'Эксперт 4'!B9))</f>
        <v/>
      </c>
      <c r="E8" s="20" t="str">
        <f>IF(COUNT('Эксперт 1'!B9,'Эксперт 2'!B9,'Эксперт 3'!B9,'Эксперт 4'!B9)&lt;4,"",MAX('Эксперт 1'!B9,'Эксперт 2'!B9,'Эксперт 3'!B9,'Эксперт 4'!B9))</f>
        <v/>
      </c>
      <c r="F8" s="20" t="str">
        <f>IF(C8="","",C8/'Настройки'!$B$30)</f>
        <v/>
      </c>
      <c r="G8" s="20" t="str">
        <f>IF(D8="","",D8/'Настройки'!$B$30)</f>
        <v/>
      </c>
      <c r="H8" s="20" t="str">
        <f>IF(E8="","",E8/'Настройки'!$B$30)</f>
        <v/>
      </c>
      <c r="I8" s="20"/>
      <c r="J8" s="20"/>
      <c r="K8" s="20"/>
      <c r="L8" s="20"/>
      <c r="M8" s="20"/>
      <c r="N8" s="1"/>
    </row>
    <row r="9" ht="39.75" customHeight="1">
      <c r="A9" s="13" t="str">
        <f>'Настройки'!B23</f>
        <v>Удобство оценки и планирования</v>
      </c>
      <c r="B9" s="13" t="str">
        <f>'Настройки'!C23</f>
        <v>MAX</v>
      </c>
      <c r="C9" s="20" t="str">
        <f>IF(COUNT('Эксперт 1'!B10,'Эксперт 2'!B10,'Эксперт 3'!B10,'Эксперт 4'!B10)&lt;4,"",MIN('Эксперт 1'!B10,'Эксперт 2'!B10,'Эксперт 3'!B10,'Эксперт 4'!B10))</f>
        <v/>
      </c>
      <c r="D9" s="20" t="str">
        <f>IF(COUNT('Эксперт 1'!B10,'Эксперт 2'!B10,'Эксперт 3'!B10,'Эксперт 4'!B10)&lt;4,"",MEDIAN('Эксперт 1'!B10,'Эксперт 2'!B10,'Эксперт 3'!B10,'Эксперт 4'!B10))</f>
        <v/>
      </c>
      <c r="E9" s="20" t="str">
        <f>IF(COUNT('Эксперт 1'!B10,'Эксперт 2'!B10,'Эксперт 3'!B10,'Эксперт 4'!B10)&lt;4,"",MAX('Эксперт 1'!B10,'Эксперт 2'!B10,'Эксперт 3'!B10,'Эксперт 4'!B10))</f>
        <v/>
      </c>
      <c r="F9" s="20" t="str">
        <f>IF(C9="","",C9/'Настройки'!$B$30)</f>
        <v/>
      </c>
      <c r="G9" s="20" t="str">
        <f>IF(D9="","",D9/'Настройки'!$B$30)</f>
        <v/>
      </c>
      <c r="H9" s="20" t="str">
        <f>IF(E9="","",E9/'Настройки'!$B$30)</f>
        <v/>
      </c>
      <c r="I9" s="20"/>
      <c r="J9" s="20"/>
      <c r="K9" s="20"/>
      <c r="L9" s="20"/>
      <c r="M9" s="20"/>
      <c r="N9" s="1"/>
    </row>
    <row r="10" ht="39.75" customHeight="1">
      <c r="A10" s="13" t="str">
        <f>'Настройки'!B24</f>
        <v>Интерес команды</v>
      </c>
      <c r="B10" s="13" t="str">
        <f>'Настройки'!C24</f>
        <v>MAX</v>
      </c>
      <c r="C10" s="20" t="str">
        <f>IF(COUNT('Эксперт 1'!B11,'Эксперт 2'!B11,'Эксперт 3'!B11,'Эксперт 4'!B11)&lt;4,"",MIN('Эксперт 1'!B11,'Эксперт 2'!B11,'Эксперт 3'!B11,'Эксперт 4'!B11))</f>
        <v/>
      </c>
      <c r="D10" s="20" t="str">
        <f>IF(COUNT('Эксперт 1'!B11,'Эксперт 2'!B11,'Эксперт 3'!B11,'Эксперт 4'!B11)&lt;4,"",MEDIAN('Эксперт 1'!B11,'Эксперт 2'!B11,'Эксперт 3'!B11,'Эксперт 4'!B11))</f>
        <v/>
      </c>
      <c r="E10" s="20" t="str">
        <f>IF(COUNT('Эксперт 1'!B11,'Эксперт 2'!B11,'Эксперт 3'!B11,'Эксперт 4'!B11)&lt;4,"",MAX('Эксперт 1'!B11,'Эксперт 2'!B11,'Эксперт 3'!B11,'Эксперт 4'!B11))</f>
        <v/>
      </c>
      <c r="F10" s="20" t="str">
        <f>IF(C10="","",C10/'Настройки'!$B$30)</f>
        <v/>
      </c>
      <c r="G10" s="20" t="str">
        <f>IF(D10="","",D10/'Настройки'!$B$30)</f>
        <v/>
      </c>
      <c r="H10" s="20" t="str">
        <f>IF(E10="","",E10/'Настройки'!$B$30)</f>
        <v/>
      </c>
      <c r="I10" s="20"/>
      <c r="J10" s="20"/>
      <c r="K10" s="20"/>
      <c r="L10" s="20"/>
      <c r="M10" s="20"/>
      <c r="N10" s="1"/>
    </row>
    <row r="11" ht="22.5" customHeight="1">
      <c r="A11" s="1"/>
      <c r="B11" s="1"/>
      <c r="C11" s="20"/>
      <c r="D11" s="20"/>
      <c r="E11" s="20"/>
      <c r="F11" s="20"/>
      <c r="G11" s="20"/>
      <c r="H11" s="20"/>
      <c r="I11" s="20"/>
      <c r="J11" s="20"/>
      <c r="K11" s="20"/>
      <c r="L11" s="20"/>
      <c r="M11" s="20"/>
      <c r="N11" s="1"/>
    </row>
    <row r="12" ht="22.5" customHeight="1">
      <c r="A12" s="1"/>
      <c r="B12" s="1"/>
      <c r="C12" s="20"/>
      <c r="D12" s="20"/>
      <c r="E12" s="20"/>
      <c r="F12" s="20"/>
      <c r="G12" s="20"/>
      <c r="H12" s="20"/>
      <c r="I12" s="20"/>
      <c r="J12" s="20"/>
      <c r="K12" s="20"/>
      <c r="L12" s="20"/>
      <c r="M12" s="20"/>
      <c r="N12" s="1"/>
    </row>
    <row r="13" ht="22.5" customHeight="1">
      <c r="A13" s="1"/>
      <c r="B13" s="1"/>
      <c r="C13" s="20"/>
      <c r="D13" s="20"/>
      <c r="E13" s="20"/>
      <c r="F13" s="20"/>
      <c r="G13" s="20"/>
      <c r="H13" s="20"/>
      <c r="I13" s="20"/>
      <c r="J13" s="20"/>
      <c r="K13" s="20"/>
      <c r="L13" s="20"/>
      <c r="M13" s="20"/>
      <c r="N13" s="1"/>
    </row>
    <row r="14" ht="36.0" customHeight="1">
      <c r="A14" s="3" t="s">
        <v>236</v>
      </c>
      <c r="B14" s="3" t="s">
        <v>168</v>
      </c>
      <c r="C14" s="21" t="s">
        <v>169</v>
      </c>
      <c r="D14" s="21" t="s">
        <v>170</v>
      </c>
      <c r="E14" s="21" t="s">
        <v>171</v>
      </c>
      <c r="F14" s="21" t="s">
        <v>241</v>
      </c>
      <c r="G14" s="21" t="s">
        <v>243</v>
      </c>
      <c r="H14" s="21" t="s">
        <v>244</v>
      </c>
      <c r="I14" s="21" t="s">
        <v>246</v>
      </c>
      <c r="J14" s="21" t="s">
        <v>247</v>
      </c>
      <c r="K14" s="21" t="s">
        <v>248</v>
      </c>
      <c r="L14" s="21" t="s">
        <v>249</v>
      </c>
      <c r="M14" s="21" t="s">
        <v>250</v>
      </c>
      <c r="N14" s="1"/>
    </row>
    <row r="15" ht="39.75" customHeight="1">
      <c r="A15" s="13" t="str">
        <f>'Настройки'!B14</f>
        <v>Детейлинг-центр</v>
      </c>
      <c r="B15" s="13" t="str">
        <f>'Настройки'!B21</f>
        <v>Практическая полезность</v>
      </c>
      <c r="C15" s="20" t="str">
        <f>IF(COUNT('Эксперт 1'!B14,'Эксперт 2'!B14,'Эксперт 3'!B14,'Эксперт 4'!B14)&lt;4,"",MIN('Эксперт 1'!B14,'Эксперт 2'!B14,'Эксперт 3'!B14,'Эксперт 4'!B14))</f>
        <v/>
      </c>
      <c r="D15" s="20" t="str">
        <f>IF(COUNT('Эксперт 1'!B14,'Эксперт 2'!B14,'Эксперт 3'!B14,'Эксперт 4'!B14)&lt;4,"",MEDIAN('Эксперт 1'!B14,'Эксперт 2'!B14,'Эксперт 3'!B14,'Эксперт 4'!B14))</f>
        <v/>
      </c>
      <c r="E15" s="20" t="str">
        <f>IF(COUNT('Эксперт 1'!B14,'Эксперт 2'!B14,'Эксперт 3'!B14,'Эксперт 4'!B14)&lt;4,"",MAX('Эксперт 1'!B14,'Эксперт 2'!B14,'Эксперт 3'!B14,'Эксперт 4'!B14))</f>
        <v/>
      </c>
      <c r="F15" s="20" t="str">
        <f>IF($B$4&lt;80,"",IF($B$7="MAX",C15/MAX(E15,E19,E23,E27),MIN(C15,C19,C23,C27)/E15))</f>
        <v/>
      </c>
      <c r="G15" s="20" t="str">
        <f>IF($B$4&lt;80,"",IF($B$7="MAX",D15/MAX(E15,E19,E23,E27),MIN(C15,C19,C23,C27)/D15))</f>
        <v/>
      </c>
      <c r="H15" s="20" t="str">
        <f>IF($B$4&lt;80,"",IF($B$7="MAX",E15/MAX(E15,E19,E23,E27),MIN(C15,C19,C23,C27)/C15))</f>
        <v/>
      </c>
      <c r="I15" s="20" t="str">
        <f t="shared" ref="I15:K15" si="1">IF(F15="","",F15*F7)</f>
        <v/>
      </c>
      <c r="J15" s="20" t="str">
        <f t="shared" si="1"/>
        <v/>
      </c>
      <c r="K15" s="20" t="str">
        <f t="shared" si="1"/>
        <v/>
      </c>
      <c r="L15" s="20" t="str">
        <f t="shared" ref="L15:L30" si="3">IF(I15="","",SQRT(((I15-1)^2+(J15-1)^2+(K15-1)^2)/3))</f>
        <v/>
      </c>
      <c r="M15" s="20" t="str">
        <f t="shared" ref="M15:M30" si="4">IF(I15="","",SQRT((I15^2+J15^2+K15^2)/3))</f>
        <v/>
      </c>
      <c r="N15" s="1"/>
    </row>
    <row r="16" ht="39.75" customHeight="1">
      <c r="A16" s="13" t="str">
        <f>'Настройки'!B14</f>
        <v>Детейлинг-центр</v>
      </c>
      <c r="B16" s="13" t="str">
        <f>'Настройки'!B22</f>
        <v>Простота реализации</v>
      </c>
      <c r="C16" s="20" t="str">
        <f>IF(COUNT('Эксперт 1'!C14,'Эксперт 2'!C14,'Эксперт 3'!C14,'Эксперт 4'!C14)&lt;4,"",MIN('Эксперт 1'!C14,'Эксперт 2'!C14,'Эксперт 3'!C14,'Эксперт 4'!C14))</f>
        <v/>
      </c>
      <c r="D16" s="20" t="str">
        <f>IF(COUNT('Эксперт 1'!C14,'Эксперт 2'!C14,'Эксперт 3'!C14,'Эксперт 4'!C14)&lt;4,"",MEDIAN('Эксперт 1'!C14,'Эксперт 2'!C14,'Эксперт 3'!C14,'Эксперт 4'!C14))</f>
        <v/>
      </c>
      <c r="E16" s="20" t="str">
        <f>IF(COUNT('Эксперт 1'!C14,'Эксперт 2'!C14,'Эксперт 3'!C14,'Эксперт 4'!C14)&lt;4,"",MAX('Эксперт 1'!C14,'Эксперт 2'!C14,'Эксперт 3'!C14,'Эксперт 4'!C14))</f>
        <v/>
      </c>
      <c r="F16" s="20" t="str">
        <f>IF($B$4&lt;80,"",IF($B$8="MAX",C16/MAX(E16,E20,E24,E28),MIN(C16,C20,C24,C28)/E16))</f>
        <v/>
      </c>
      <c r="G16" s="20" t="str">
        <f>IF($B$4&lt;80,"",IF($B$8="MAX",D16/MAX(E16,E20,E24,E28),MIN(C16,C20,C24,C28)/D16))</f>
        <v/>
      </c>
      <c r="H16" s="20" t="str">
        <f>IF($B$4&lt;80,"",IF($B$8="MAX",E16/MAX(E16,E20,E24,E28),MIN(C16,C20,C24,C28)/C16))</f>
        <v/>
      </c>
      <c r="I16" s="20" t="str">
        <f t="shared" ref="I16:K16" si="2">IF(F16="","",F16*F8)</f>
        <v/>
      </c>
      <c r="J16" s="20" t="str">
        <f t="shared" si="2"/>
        <v/>
      </c>
      <c r="K16" s="20" t="str">
        <f t="shared" si="2"/>
        <v/>
      </c>
      <c r="L16" s="20" t="str">
        <f t="shared" si="3"/>
        <v/>
      </c>
      <c r="M16" s="20" t="str">
        <f t="shared" si="4"/>
        <v/>
      </c>
      <c r="N16" s="1"/>
    </row>
    <row r="17" ht="39.75" customHeight="1">
      <c r="A17" s="13" t="str">
        <f>'Настройки'!B14</f>
        <v>Детейлинг-центр</v>
      </c>
      <c r="B17" s="13" t="str">
        <f>'Настройки'!B23</f>
        <v>Удобство оценки и планирования</v>
      </c>
      <c r="C17" s="20" t="str">
        <f>IF(COUNT('Эксперт 1'!D14,'Эксперт 2'!D14,'Эксперт 3'!D14,'Эксперт 4'!D14)&lt;4,"",MIN('Эксперт 1'!D14,'Эксперт 2'!D14,'Эксперт 3'!D14,'Эксперт 4'!D14))</f>
        <v/>
      </c>
      <c r="D17" s="20" t="str">
        <f>IF(COUNT('Эксперт 1'!D14,'Эксперт 2'!D14,'Эксперт 3'!D14,'Эксперт 4'!D14)&lt;4,"",MEDIAN('Эксперт 1'!D14,'Эксперт 2'!D14,'Эксперт 3'!D14,'Эксперт 4'!D14))</f>
        <v/>
      </c>
      <c r="E17" s="20" t="str">
        <f>IF(COUNT('Эксперт 1'!D14,'Эксперт 2'!D14,'Эксперт 3'!D14,'Эксперт 4'!D14)&lt;4,"",MAX('Эксперт 1'!D14,'Эксперт 2'!D14,'Эксперт 3'!D14,'Эксперт 4'!D14))</f>
        <v/>
      </c>
      <c r="F17" s="20" t="str">
        <f>IF($B$4&lt;80,"",IF($B$9="MAX",C17/MAX(E17,E21,E25,E29),MIN(C17,C21,C25,C29)/E17))</f>
        <v/>
      </c>
      <c r="G17" s="20" t="str">
        <f>IF($B$4&lt;80,"",IF($B$9="MAX",D17/MAX(E17,E21,E25,E29),MIN(C17,C21,C25,C29)/D17))</f>
        <v/>
      </c>
      <c r="H17" s="20" t="str">
        <f>IF($B$4&lt;80,"",IF($B$9="MAX",E17/MAX(E17,E21,E25,E29),MIN(C17,C21,C25,C29)/C17))</f>
        <v/>
      </c>
      <c r="I17" s="20" t="str">
        <f t="shared" ref="I17:K17" si="5">IF(F17="","",F17*F9)</f>
        <v/>
      </c>
      <c r="J17" s="20" t="str">
        <f t="shared" si="5"/>
        <v/>
      </c>
      <c r="K17" s="20" t="str">
        <f t="shared" si="5"/>
        <v/>
      </c>
      <c r="L17" s="20" t="str">
        <f t="shared" si="3"/>
        <v/>
      </c>
      <c r="M17" s="20" t="str">
        <f t="shared" si="4"/>
        <v/>
      </c>
      <c r="N17" s="1"/>
    </row>
    <row r="18" ht="39.75" customHeight="1">
      <c r="A18" s="13" t="str">
        <f>'Настройки'!B14</f>
        <v>Детейлинг-центр</v>
      </c>
      <c r="B18" s="13" t="str">
        <f>'Настройки'!B24</f>
        <v>Интерес команды</v>
      </c>
      <c r="C18" s="20" t="str">
        <f>IF(COUNT('Эксперт 1'!E14,'Эксперт 2'!E14,'Эксперт 3'!E14,'Эксперт 4'!E14)&lt;4,"",MIN('Эксперт 1'!E14,'Эксперт 2'!E14,'Эксперт 3'!E14,'Эксперт 4'!E14))</f>
        <v/>
      </c>
      <c r="D18" s="20" t="str">
        <f>IF(COUNT('Эксперт 1'!E14,'Эксперт 2'!E14,'Эксперт 3'!E14,'Эксперт 4'!E14)&lt;4,"",MEDIAN('Эксперт 1'!E14,'Эксперт 2'!E14,'Эксперт 3'!E14,'Эксперт 4'!E14))</f>
        <v/>
      </c>
      <c r="E18" s="20" t="str">
        <f>IF(COUNT('Эксперт 1'!E14,'Эксперт 2'!E14,'Эксперт 3'!E14,'Эксперт 4'!E14)&lt;4,"",MAX('Эксперт 1'!E14,'Эксперт 2'!E14,'Эксперт 3'!E14,'Эксперт 4'!E14))</f>
        <v/>
      </c>
      <c r="F18" s="20" t="str">
        <f>IF($B$4&lt;80,"",IF($B$10="MAX",C18/MAX(E18,E22,E26,E30),MIN(C18,C22,C26,C30)/E18))</f>
        <v/>
      </c>
      <c r="G18" s="20" t="str">
        <f>IF($B$4&lt;80,"",IF($B$10="MAX",D18/MAX(E18,E22,E26,E30),MIN(C18,C22,C26,C30)/D18))</f>
        <v/>
      </c>
      <c r="H18" s="20" t="str">
        <f>IF($B$4&lt;80,"",IF($B$10="MAX",E18/MAX(E18,E22,E26,E30),MIN(C18,C22,C26,C30)/C18))</f>
        <v/>
      </c>
      <c r="I18" s="20" t="str">
        <f t="shared" ref="I18:K18" si="6">IF(F18="","",F18*F10)</f>
        <v/>
      </c>
      <c r="J18" s="20" t="str">
        <f t="shared" si="6"/>
        <v/>
      </c>
      <c r="K18" s="20" t="str">
        <f t="shared" si="6"/>
        <v/>
      </c>
      <c r="L18" s="20" t="str">
        <f t="shared" si="3"/>
        <v/>
      </c>
      <c r="M18" s="20" t="str">
        <f t="shared" si="4"/>
        <v/>
      </c>
      <c r="N18" s="1"/>
    </row>
    <row r="19" ht="39.75" customHeight="1">
      <c r="A19" s="13" t="str">
        <f>'Настройки'!B15</f>
        <v>Планировщик покупок</v>
      </c>
      <c r="B19" s="13" t="str">
        <f>'Настройки'!B21</f>
        <v>Практическая полезность</v>
      </c>
      <c r="C19" s="20" t="str">
        <f>IF(COUNT('Эксперт 1'!B15,'Эксперт 2'!B15,'Эксперт 3'!B15,'Эксперт 4'!B15)&lt;4,"",MIN('Эксперт 1'!B15,'Эксперт 2'!B15,'Эксперт 3'!B15,'Эксперт 4'!B15))</f>
        <v/>
      </c>
      <c r="D19" s="20" t="str">
        <f>IF(COUNT('Эксперт 1'!B15,'Эксперт 2'!B15,'Эксперт 3'!B15,'Эксперт 4'!B15)&lt;4,"",MEDIAN('Эксперт 1'!B15,'Эксперт 2'!B15,'Эксперт 3'!B15,'Эксперт 4'!B15))</f>
        <v/>
      </c>
      <c r="E19" s="20" t="str">
        <f>IF(COUNT('Эксперт 1'!B15,'Эксперт 2'!B15,'Эксперт 3'!B15,'Эксперт 4'!B15)&lt;4,"",MAX('Эксперт 1'!B15,'Эксперт 2'!B15,'Эксперт 3'!B15,'Эксперт 4'!B15))</f>
        <v/>
      </c>
      <c r="F19" s="20" t="str">
        <f>IF($B$4&lt;80,"",IF($B$7="MAX",C19/MAX(E15,E19,E23,E27),MIN(C15,C19,C23,C27)/E19))</f>
        <v/>
      </c>
      <c r="G19" s="20" t="str">
        <f>IF($B$4&lt;80,"",IF($B$7="MAX",D19/MAX(E15,E19,E23,E27),MIN(C15,C19,C23,C27)/D19))</f>
        <v/>
      </c>
      <c r="H19" s="20" t="str">
        <f>IF($B$4&lt;80,"",IF($B$7="MAX",E19/MAX(E15,E19,E23,E27),MIN(C15,C19,C23,C27)/C19))</f>
        <v/>
      </c>
      <c r="I19" s="20" t="str">
        <f t="shared" ref="I19:K19" si="7">IF(F19="","",F19*F7)</f>
        <v/>
      </c>
      <c r="J19" s="20" t="str">
        <f t="shared" si="7"/>
        <v/>
      </c>
      <c r="K19" s="20" t="str">
        <f t="shared" si="7"/>
        <v/>
      </c>
      <c r="L19" s="20" t="str">
        <f t="shared" si="3"/>
        <v/>
      </c>
      <c r="M19" s="20" t="str">
        <f t="shared" si="4"/>
        <v/>
      </c>
      <c r="N19" s="1"/>
    </row>
    <row r="20" ht="39.75" customHeight="1">
      <c r="A20" s="13" t="str">
        <f>'Настройки'!B15</f>
        <v>Планировщик покупок</v>
      </c>
      <c r="B20" s="13" t="str">
        <f>'Настройки'!B22</f>
        <v>Простота реализации</v>
      </c>
      <c r="C20" s="20" t="str">
        <f>IF(COUNT('Эксперт 1'!C15,'Эксперт 2'!C15,'Эксперт 3'!C15,'Эксперт 4'!C15)&lt;4,"",MIN('Эксперт 1'!C15,'Эксперт 2'!C15,'Эксперт 3'!C15,'Эксперт 4'!C15))</f>
        <v/>
      </c>
      <c r="D20" s="20" t="str">
        <f>IF(COUNT('Эксперт 1'!C15,'Эксперт 2'!C15,'Эксперт 3'!C15,'Эксперт 4'!C15)&lt;4,"",MEDIAN('Эксперт 1'!C15,'Эксперт 2'!C15,'Эксперт 3'!C15,'Эксперт 4'!C15))</f>
        <v/>
      </c>
      <c r="E20" s="20" t="str">
        <f>IF(COUNT('Эксперт 1'!C15,'Эксперт 2'!C15,'Эксперт 3'!C15,'Эксперт 4'!C15)&lt;4,"",MAX('Эксперт 1'!C15,'Эксперт 2'!C15,'Эксперт 3'!C15,'Эксперт 4'!C15))</f>
        <v/>
      </c>
      <c r="F20" s="20" t="str">
        <f>IF($B$4&lt;80,"",IF($B$8="MAX",C20/MAX(E16,E20,E24,E28),MIN(C16,C20,C24,C28)/E20))</f>
        <v/>
      </c>
      <c r="G20" s="20" t="str">
        <f>IF($B$4&lt;80,"",IF($B$8="MAX",D20/MAX(E16,E20,E24,E28),MIN(C16,C20,C24,C28)/D20))</f>
        <v/>
      </c>
      <c r="H20" s="20" t="str">
        <f>IF($B$4&lt;80,"",IF($B$8="MAX",E20/MAX(E16,E20,E24,E28),MIN(C16,C20,C24,C28)/C20))</f>
        <v/>
      </c>
      <c r="I20" s="20" t="str">
        <f t="shared" ref="I20:K20" si="8">IF(F20="","",F20*F8)</f>
        <v/>
      </c>
      <c r="J20" s="20" t="str">
        <f t="shared" si="8"/>
        <v/>
      </c>
      <c r="K20" s="20" t="str">
        <f t="shared" si="8"/>
        <v/>
      </c>
      <c r="L20" s="20" t="str">
        <f t="shared" si="3"/>
        <v/>
      </c>
      <c r="M20" s="20" t="str">
        <f t="shared" si="4"/>
        <v/>
      </c>
      <c r="N20" s="1"/>
    </row>
    <row r="21" ht="39.75" customHeight="1">
      <c r="A21" s="13" t="str">
        <f>'Настройки'!B15</f>
        <v>Планировщик покупок</v>
      </c>
      <c r="B21" s="13" t="str">
        <f>'Настройки'!B23</f>
        <v>Удобство оценки и планирования</v>
      </c>
      <c r="C21" s="20" t="str">
        <f>IF(COUNT('Эксперт 1'!D15,'Эксперт 2'!D15,'Эксперт 3'!D15,'Эксперт 4'!D15)&lt;4,"",MIN('Эксперт 1'!D15,'Эксперт 2'!D15,'Эксперт 3'!D15,'Эксперт 4'!D15))</f>
        <v/>
      </c>
      <c r="D21" s="20" t="str">
        <f>IF(COUNT('Эксперт 1'!D15,'Эксперт 2'!D15,'Эксперт 3'!D15,'Эксперт 4'!D15)&lt;4,"",MEDIAN('Эксперт 1'!D15,'Эксперт 2'!D15,'Эксперт 3'!D15,'Эксперт 4'!D15))</f>
        <v/>
      </c>
      <c r="E21" s="20" t="str">
        <f>IF(COUNT('Эксперт 1'!D15,'Эксперт 2'!D15,'Эксперт 3'!D15,'Эксперт 4'!D15)&lt;4,"",MAX('Эксперт 1'!D15,'Эксперт 2'!D15,'Эксперт 3'!D15,'Эксперт 4'!D15))</f>
        <v/>
      </c>
      <c r="F21" s="20" t="str">
        <f>IF($B$4&lt;80,"",IF($B$9="MAX",C21/MAX(E17,E21,E25,E29),MIN(C17,C21,C25,C29)/E21))</f>
        <v/>
      </c>
      <c r="G21" s="20" t="str">
        <f>IF($B$4&lt;80,"",IF($B$9="MAX",D21/MAX(E17,E21,E25,E29),MIN(C17,C21,C25,C29)/D21))</f>
        <v/>
      </c>
      <c r="H21" s="20" t="str">
        <f>IF($B$4&lt;80,"",IF($B$9="MAX",E21/MAX(E17,E21,E25,E29),MIN(C17,C21,C25,C29)/C21))</f>
        <v/>
      </c>
      <c r="I21" s="20" t="str">
        <f t="shared" ref="I21:K21" si="9">IF(F21="","",F21*F9)</f>
        <v/>
      </c>
      <c r="J21" s="20" t="str">
        <f t="shared" si="9"/>
        <v/>
      </c>
      <c r="K21" s="20" t="str">
        <f t="shared" si="9"/>
        <v/>
      </c>
      <c r="L21" s="20" t="str">
        <f t="shared" si="3"/>
        <v/>
      </c>
      <c r="M21" s="20" t="str">
        <f t="shared" si="4"/>
        <v/>
      </c>
      <c r="N21" s="1"/>
    </row>
    <row r="22" ht="39.75" customHeight="1">
      <c r="A22" s="13" t="str">
        <f>'Настройки'!B15</f>
        <v>Планировщик покупок</v>
      </c>
      <c r="B22" s="13" t="str">
        <f>'Настройки'!B24</f>
        <v>Интерес команды</v>
      </c>
      <c r="C22" s="20" t="str">
        <f>IF(COUNT('Эксперт 1'!E15,'Эксперт 2'!E15,'Эксперт 3'!E15,'Эксперт 4'!E15)&lt;4,"",MIN('Эксперт 1'!E15,'Эксперт 2'!E15,'Эксперт 3'!E15,'Эксперт 4'!E15))</f>
        <v/>
      </c>
      <c r="D22" s="20" t="str">
        <f>IF(COUNT('Эксперт 1'!E15,'Эксперт 2'!E15,'Эксперт 3'!E15,'Эксперт 4'!E15)&lt;4,"",MEDIAN('Эксперт 1'!E15,'Эксперт 2'!E15,'Эксперт 3'!E15,'Эксперт 4'!E15))</f>
        <v/>
      </c>
      <c r="E22" s="20" t="str">
        <f>IF(COUNT('Эксперт 1'!E15,'Эксперт 2'!E15,'Эксперт 3'!E15,'Эксперт 4'!E15)&lt;4,"",MAX('Эксперт 1'!E15,'Эксперт 2'!E15,'Эксперт 3'!E15,'Эксперт 4'!E15))</f>
        <v/>
      </c>
      <c r="F22" s="20" t="str">
        <f>IF($B$4&lt;80,"",IF($B$10="MAX",C22/MAX(E18,E22,E26,E30),MIN(C18,C22,C26,C30)/E22))</f>
        <v/>
      </c>
      <c r="G22" s="20" t="str">
        <f>IF($B$4&lt;80,"",IF($B$10="MAX",D22/MAX(E18,E22,E26,E30),MIN(C18,C22,C26,C30)/D22))</f>
        <v/>
      </c>
      <c r="H22" s="20" t="str">
        <f>IF($B$4&lt;80,"",IF($B$10="MAX",E22/MAX(E18,E22,E26,E30),MIN(C18,C22,C26,C30)/C22))</f>
        <v/>
      </c>
      <c r="I22" s="20" t="str">
        <f t="shared" ref="I22:K22" si="10">IF(F22="","",F22*F10)</f>
        <v/>
      </c>
      <c r="J22" s="20" t="str">
        <f t="shared" si="10"/>
        <v/>
      </c>
      <c r="K22" s="20" t="str">
        <f t="shared" si="10"/>
        <v/>
      </c>
      <c r="L22" s="20" t="str">
        <f t="shared" si="3"/>
        <v/>
      </c>
      <c r="M22" s="20" t="str">
        <f t="shared" si="4"/>
        <v/>
      </c>
      <c r="N22" s="1"/>
    </row>
    <row r="23" ht="39.75" customHeight="1">
      <c r="A23" s="13" t="str">
        <f>'Настройки'!B16</f>
        <v>Концепция 3</v>
      </c>
      <c r="B23" s="13" t="str">
        <f>'Настройки'!B21</f>
        <v>Практическая полезность</v>
      </c>
      <c r="C23" s="20" t="str">
        <f>IF(COUNT('Эксперт 1'!B16,'Эксперт 2'!B16,'Эксперт 3'!B16,'Эксперт 4'!B16)&lt;4,"",MIN('Эксперт 1'!B16,'Эксперт 2'!B16,'Эксперт 3'!B16,'Эксперт 4'!B16))</f>
        <v/>
      </c>
      <c r="D23" s="20" t="str">
        <f>IF(COUNT('Эксперт 1'!B16,'Эксперт 2'!B16,'Эксперт 3'!B16,'Эксперт 4'!B16)&lt;4,"",MEDIAN('Эксперт 1'!B16,'Эксперт 2'!B16,'Эксперт 3'!B16,'Эксперт 4'!B16))</f>
        <v/>
      </c>
      <c r="E23" s="20" t="str">
        <f>IF(COUNT('Эксперт 1'!B16,'Эксперт 2'!B16,'Эксперт 3'!B16,'Эксперт 4'!B16)&lt;4,"",MAX('Эксперт 1'!B16,'Эксперт 2'!B16,'Эксперт 3'!B16,'Эксперт 4'!B16))</f>
        <v/>
      </c>
      <c r="F23" s="20" t="str">
        <f>IF($B$4&lt;80,"",IF($B$7="MAX",C23/MAX(E15,E19,E23,E27),MIN(C15,C19,C23,C27)/E23))</f>
        <v/>
      </c>
      <c r="G23" s="20" t="str">
        <f>IF($B$4&lt;80,"",IF($B$7="MAX",D23/MAX(E15,E19,E23,E27),MIN(C15,C19,C23,C27)/D23))</f>
        <v/>
      </c>
      <c r="H23" s="20" t="str">
        <f>IF($B$4&lt;80,"",IF($B$7="MAX",E23/MAX(E15,E19,E23,E27),MIN(C15,C19,C23,C27)/C23))</f>
        <v/>
      </c>
      <c r="I23" s="20" t="str">
        <f t="shared" ref="I23:K23" si="11">IF(F23="","",F23*F7)</f>
        <v/>
      </c>
      <c r="J23" s="20" t="str">
        <f t="shared" si="11"/>
        <v/>
      </c>
      <c r="K23" s="20" t="str">
        <f t="shared" si="11"/>
        <v/>
      </c>
      <c r="L23" s="20" t="str">
        <f t="shared" si="3"/>
        <v/>
      </c>
      <c r="M23" s="20" t="str">
        <f t="shared" si="4"/>
        <v/>
      </c>
      <c r="N23" s="1"/>
    </row>
    <row r="24" ht="39.75" customHeight="1">
      <c r="A24" s="13" t="str">
        <f>'Настройки'!B16</f>
        <v>Концепция 3</v>
      </c>
      <c r="B24" s="13" t="str">
        <f>'Настройки'!B22</f>
        <v>Простота реализации</v>
      </c>
      <c r="C24" s="20" t="str">
        <f>IF(COUNT('Эксперт 1'!C16,'Эксперт 2'!C16,'Эксперт 3'!C16,'Эксперт 4'!C16)&lt;4,"",MIN('Эксперт 1'!C16,'Эксперт 2'!C16,'Эксперт 3'!C16,'Эксперт 4'!C16))</f>
        <v/>
      </c>
      <c r="D24" s="20" t="str">
        <f>IF(COUNT('Эксперт 1'!C16,'Эксперт 2'!C16,'Эксперт 3'!C16,'Эксперт 4'!C16)&lt;4,"",MEDIAN('Эксперт 1'!C16,'Эксперт 2'!C16,'Эксперт 3'!C16,'Эксперт 4'!C16))</f>
        <v/>
      </c>
      <c r="E24" s="20" t="str">
        <f>IF(COUNT('Эксперт 1'!C16,'Эксперт 2'!C16,'Эксперт 3'!C16,'Эксперт 4'!C16)&lt;4,"",MAX('Эксперт 1'!C16,'Эксперт 2'!C16,'Эксперт 3'!C16,'Эксперт 4'!C16))</f>
        <v/>
      </c>
      <c r="F24" s="20" t="str">
        <f>IF($B$4&lt;80,"",IF($B$8="MAX",C24/MAX(E16,E20,E24,E28),MIN(C16,C20,C24,C28)/E24))</f>
        <v/>
      </c>
      <c r="G24" s="20" t="str">
        <f>IF($B$4&lt;80,"",IF($B$8="MAX",D24/MAX(E16,E20,E24,E28),MIN(C16,C20,C24,C28)/D24))</f>
        <v/>
      </c>
      <c r="H24" s="20" t="str">
        <f>IF($B$4&lt;80,"",IF($B$8="MAX",E24/MAX(E16,E20,E24,E28),MIN(C16,C20,C24,C28)/C24))</f>
        <v/>
      </c>
      <c r="I24" s="20" t="str">
        <f t="shared" ref="I24:K24" si="12">IF(F24="","",F24*F8)</f>
        <v/>
      </c>
      <c r="J24" s="20" t="str">
        <f t="shared" si="12"/>
        <v/>
      </c>
      <c r="K24" s="20" t="str">
        <f t="shared" si="12"/>
        <v/>
      </c>
      <c r="L24" s="20" t="str">
        <f t="shared" si="3"/>
        <v/>
      </c>
      <c r="M24" s="20" t="str">
        <f t="shared" si="4"/>
        <v/>
      </c>
      <c r="N24" s="1"/>
    </row>
    <row r="25" ht="39.75" customHeight="1">
      <c r="A25" s="13" t="str">
        <f>'Настройки'!B16</f>
        <v>Концепция 3</v>
      </c>
      <c r="B25" s="13" t="str">
        <f>'Настройки'!B23</f>
        <v>Удобство оценки и планирования</v>
      </c>
      <c r="C25" s="20" t="str">
        <f>IF(COUNT('Эксперт 1'!D16,'Эксперт 2'!D16,'Эксперт 3'!D16,'Эксперт 4'!D16)&lt;4,"",MIN('Эксперт 1'!D16,'Эксперт 2'!D16,'Эксперт 3'!D16,'Эксперт 4'!D16))</f>
        <v/>
      </c>
      <c r="D25" s="20" t="str">
        <f>IF(COUNT('Эксперт 1'!D16,'Эксперт 2'!D16,'Эксперт 3'!D16,'Эксперт 4'!D16)&lt;4,"",MEDIAN('Эксперт 1'!D16,'Эксперт 2'!D16,'Эксперт 3'!D16,'Эксперт 4'!D16))</f>
        <v/>
      </c>
      <c r="E25" s="20" t="str">
        <f>IF(COUNT('Эксперт 1'!D16,'Эксперт 2'!D16,'Эксперт 3'!D16,'Эксперт 4'!D16)&lt;4,"",MAX('Эксперт 1'!D16,'Эксперт 2'!D16,'Эксперт 3'!D16,'Эксперт 4'!D16))</f>
        <v/>
      </c>
      <c r="F25" s="20" t="str">
        <f>IF($B$4&lt;80,"",IF($B$9="MAX",C25/MAX(E17,E21,E25,E29),MIN(C17,C21,C25,C29)/E25))</f>
        <v/>
      </c>
      <c r="G25" s="20" t="str">
        <f>IF($B$4&lt;80,"",IF($B$9="MAX",D25/MAX(E17,E21,E25,E29),MIN(C17,C21,C25,C29)/D25))</f>
        <v/>
      </c>
      <c r="H25" s="20" t="str">
        <f>IF($B$4&lt;80,"",IF($B$9="MAX",E25/MAX(E17,E21,E25,E29),MIN(C17,C21,C25,C29)/C25))</f>
        <v/>
      </c>
      <c r="I25" s="20" t="str">
        <f t="shared" ref="I25:K25" si="13">IF(F25="","",F25*F9)</f>
        <v/>
      </c>
      <c r="J25" s="20" t="str">
        <f t="shared" si="13"/>
        <v/>
      </c>
      <c r="K25" s="20" t="str">
        <f t="shared" si="13"/>
        <v/>
      </c>
      <c r="L25" s="20" t="str">
        <f t="shared" si="3"/>
        <v/>
      </c>
      <c r="M25" s="20" t="str">
        <f t="shared" si="4"/>
        <v/>
      </c>
      <c r="N25" s="1"/>
    </row>
    <row r="26" ht="39.75" customHeight="1">
      <c r="A26" s="13" t="str">
        <f>'Настройки'!B16</f>
        <v>Концепция 3</v>
      </c>
      <c r="B26" s="13" t="str">
        <f>'Настройки'!B24</f>
        <v>Интерес команды</v>
      </c>
      <c r="C26" s="20" t="str">
        <f>IF(COUNT('Эксперт 1'!E16,'Эксперт 2'!E16,'Эксперт 3'!E16,'Эксперт 4'!E16)&lt;4,"",MIN('Эксперт 1'!E16,'Эксперт 2'!E16,'Эксперт 3'!E16,'Эксперт 4'!E16))</f>
        <v/>
      </c>
      <c r="D26" s="20" t="str">
        <f>IF(COUNT('Эксперт 1'!E16,'Эксперт 2'!E16,'Эксперт 3'!E16,'Эксперт 4'!E16)&lt;4,"",MEDIAN('Эксперт 1'!E16,'Эксперт 2'!E16,'Эксперт 3'!E16,'Эксперт 4'!E16))</f>
        <v/>
      </c>
      <c r="E26" s="20" t="str">
        <f>IF(COUNT('Эксперт 1'!E16,'Эксперт 2'!E16,'Эксперт 3'!E16,'Эксперт 4'!E16)&lt;4,"",MAX('Эксперт 1'!E16,'Эксперт 2'!E16,'Эксперт 3'!E16,'Эксперт 4'!E16))</f>
        <v/>
      </c>
      <c r="F26" s="20" t="str">
        <f>IF($B$4&lt;80,"",IF($B$10="MAX",C26/MAX(E18,E22,E26,E30),MIN(C18,C22,C26,C30)/E26))</f>
        <v/>
      </c>
      <c r="G26" s="20" t="str">
        <f>IF($B$4&lt;80,"",IF($B$10="MAX",D26/MAX(E18,E22,E26,E30),MIN(C18,C22,C26,C30)/D26))</f>
        <v/>
      </c>
      <c r="H26" s="20" t="str">
        <f>IF($B$4&lt;80,"",IF($B$10="MAX",E26/MAX(E18,E22,E26,E30),MIN(C18,C22,C26,C30)/C26))</f>
        <v/>
      </c>
      <c r="I26" s="20" t="str">
        <f t="shared" ref="I26:K26" si="14">IF(F26="","",F26*F10)</f>
        <v/>
      </c>
      <c r="J26" s="20" t="str">
        <f t="shared" si="14"/>
        <v/>
      </c>
      <c r="K26" s="20" t="str">
        <f t="shared" si="14"/>
        <v/>
      </c>
      <c r="L26" s="20" t="str">
        <f t="shared" si="3"/>
        <v/>
      </c>
      <c r="M26" s="20" t="str">
        <f t="shared" si="4"/>
        <v/>
      </c>
      <c r="N26" s="1"/>
    </row>
    <row r="27" ht="39.75" customHeight="1">
      <c r="A27" s="13" t="str">
        <f>'Настройки'!B17</f>
        <v>Концепция 4</v>
      </c>
      <c r="B27" s="13" t="str">
        <f>'Настройки'!B21</f>
        <v>Практическая полезность</v>
      </c>
      <c r="C27" s="20" t="str">
        <f>IF(COUNT('Эксперт 1'!B17,'Эксперт 2'!B17,'Эксперт 3'!B17,'Эксперт 4'!B17)&lt;4,"",MIN('Эксперт 1'!B17,'Эксперт 2'!B17,'Эксперт 3'!B17,'Эксперт 4'!B17))</f>
        <v/>
      </c>
      <c r="D27" s="20" t="str">
        <f>IF(COUNT('Эксперт 1'!B17,'Эксперт 2'!B17,'Эксперт 3'!B17,'Эксперт 4'!B17)&lt;4,"",MEDIAN('Эксперт 1'!B17,'Эксперт 2'!B17,'Эксперт 3'!B17,'Эксперт 4'!B17))</f>
        <v/>
      </c>
      <c r="E27" s="20" t="str">
        <f>IF(COUNT('Эксперт 1'!B17,'Эксперт 2'!B17,'Эксперт 3'!B17,'Эксперт 4'!B17)&lt;4,"",MAX('Эксперт 1'!B17,'Эксперт 2'!B17,'Эксперт 3'!B17,'Эксперт 4'!B17))</f>
        <v/>
      </c>
      <c r="F27" s="20" t="str">
        <f>IF($B$4&lt;80,"",IF($B$7="MAX",C27/MAX(E15,E19,E23,E27),MIN(C15,C19,C23,C27)/E27))</f>
        <v/>
      </c>
      <c r="G27" s="20" t="str">
        <f>IF($B$4&lt;80,"",IF($B$7="MAX",D27/MAX(E15,E19,E23,E27),MIN(C15,C19,C23,C27)/D27))</f>
        <v/>
      </c>
      <c r="H27" s="20" t="str">
        <f>IF($B$4&lt;80,"",IF($B$7="MAX",E27/MAX(E15,E19,E23,E27),MIN(C15,C19,C23,C27)/C27))</f>
        <v/>
      </c>
      <c r="I27" s="20" t="str">
        <f t="shared" ref="I27:K27" si="15">IF(F27="","",F27*F7)</f>
        <v/>
      </c>
      <c r="J27" s="20" t="str">
        <f t="shared" si="15"/>
        <v/>
      </c>
      <c r="K27" s="20" t="str">
        <f t="shared" si="15"/>
        <v/>
      </c>
      <c r="L27" s="20" t="str">
        <f t="shared" si="3"/>
        <v/>
      </c>
      <c r="M27" s="20" t="str">
        <f t="shared" si="4"/>
        <v/>
      </c>
      <c r="N27" s="1"/>
    </row>
    <row r="28" ht="39.75" customHeight="1">
      <c r="A28" s="13" t="str">
        <f>'Настройки'!B17</f>
        <v>Концепция 4</v>
      </c>
      <c r="B28" s="13" t="str">
        <f>'Настройки'!B22</f>
        <v>Простота реализации</v>
      </c>
      <c r="C28" s="20" t="str">
        <f>IF(COUNT('Эксперт 1'!C17,'Эксперт 2'!C17,'Эксперт 3'!C17,'Эксперт 4'!C17)&lt;4,"",MIN('Эксперт 1'!C17,'Эксперт 2'!C17,'Эксперт 3'!C17,'Эксперт 4'!C17))</f>
        <v/>
      </c>
      <c r="D28" s="20" t="str">
        <f>IF(COUNT('Эксперт 1'!C17,'Эксперт 2'!C17,'Эксперт 3'!C17,'Эксперт 4'!C17)&lt;4,"",MEDIAN('Эксперт 1'!C17,'Эксперт 2'!C17,'Эксперт 3'!C17,'Эксперт 4'!C17))</f>
        <v/>
      </c>
      <c r="E28" s="20" t="str">
        <f>IF(COUNT('Эксперт 1'!C17,'Эксперт 2'!C17,'Эксперт 3'!C17,'Эксперт 4'!C17)&lt;4,"",MAX('Эксперт 1'!C17,'Эксперт 2'!C17,'Эксперт 3'!C17,'Эксперт 4'!C17))</f>
        <v/>
      </c>
      <c r="F28" s="20" t="str">
        <f>IF($B$4&lt;80,"",IF($B$8="MAX",C28/MAX(E16,E20,E24,E28),MIN(C16,C20,C24,C28)/E28))</f>
        <v/>
      </c>
      <c r="G28" s="20" t="str">
        <f>IF($B$4&lt;80,"",IF($B$8="MAX",D28/MAX(E16,E20,E24,E28),MIN(C16,C20,C24,C28)/D28))</f>
        <v/>
      </c>
      <c r="H28" s="20" t="str">
        <f>IF($B$4&lt;80,"",IF($B$8="MAX",E28/MAX(E16,E20,E24,E28),MIN(C16,C20,C24,C28)/C28))</f>
        <v/>
      </c>
      <c r="I28" s="20" t="str">
        <f t="shared" ref="I28:K28" si="16">IF(F28="","",F28*F8)</f>
        <v/>
      </c>
      <c r="J28" s="20" t="str">
        <f t="shared" si="16"/>
        <v/>
      </c>
      <c r="K28" s="20" t="str">
        <f t="shared" si="16"/>
        <v/>
      </c>
      <c r="L28" s="20" t="str">
        <f t="shared" si="3"/>
        <v/>
      </c>
      <c r="M28" s="20" t="str">
        <f t="shared" si="4"/>
        <v/>
      </c>
      <c r="N28" s="1"/>
    </row>
    <row r="29" ht="39.75" customHeight="1">
      <c r="A29" s="13" t="str">
        <f>'Настройки'!B17</f>
        <v>Концепция 4</v>
      </c>
      <c r="B29" s="13" t="str">
        <f>'Настройки'!B23</f>
        <v>Удобство оценки и планирования</v>
      </c>
      <c r="C29" s="20" t="str">
        <f>IF(COUNT('Эксперт 1'!D17,'Эксперт 2'!D17,'Эксперт 3'!D17,'Эксперт 4'!D17)&lt;4,"",MIN('Эксперт 1'!D17,'Эксперт 2'!D17,'Эксперт 3'!D17,'Эксперт 4'!D17))</f>
        <v/>
      </c>
      <c r="D29" s="20" t="str">
        <f>IF(COUNT('Эксперт 1'!D17,'Эксперт 2'!D17,'Эксперт 3'!D17,'Эксперт 4'!D17)&lt;4,"",MEDIAN('Эксперт 1'!D17,'Эксперт 2'!D17,'Эксперт 3'!D17,'Эксперт 4'!D17))</f>
        <v/>
      </c>
      <c r="E29" s="20" t="str">
        <f>IF(COUNT('Эксперт 1'!D17,'Эксперт 2'!D17,'Эксперт 3'!D17,'Эксперт 4'!D17)&lt;4,"",MAX('Эксперт 1'!D17,'Эксперт 2'!D17,'Эксперт 3'!D17,'Эксперт 4'!D17))</f>
        <v/>
      </c>
      <c r="F29" s="20" t="str">
        <f>IF($B$4&lt;80,"",IF($B$9="MAX",C29/MAX(E17,E21,E25,E29),MIN(C17,C21,C25,C29)/E29))</f>
        <v/>
      </c>
      <c r="G29" s="20" t="str">
        <f>IF($B$4&lt;80,"",IF($B$9="MAX",D29/MAX(E17,E21,E25,E29),MIN(C17,C21,C25,C29)/D29))</f>
        <v/>
      </c>
      <c r="H29" s="20" t="str">
        <f>IF($B$4&lt;80,"",IF($B$9="MAX",E29/MAX(E17,E21,E25,E29),MIN(C17,C21,C25,C29)/C29))</f>
        <v/>
      </c>
      <c r="I29" s="20" t="str">
        <f t="shared" ref="I29:K29" si="17">IF(F29="","",F29*F9)</f>
        <v/>
      </c>
      <c r="J29" s="20" t="str">
        <f t="shared" si="17"/>
        <v/>
      </c>
      <c r="K29" s="20" t="str">
        <f t="shared" si="17"/>
        <v/>
      </c>
      <c r="L29" s="20" t="str">
        <f t="shared" si="3"/>
        <v/>
      </c>
      <c r="M29" s="20" t="str">
        <f t="shared" si="4"/>
        <v/>
      </c>
      <c r="N29" s="1"/>
    </row>
    <row r="30" ht="39.75" customHeight="1">
      <c r="A30" s="13" t="str">
        <f>'Настройки'!B17</f>
        <v>Концепция 4</v>
      </c>
      <c r="B30" s="13" t="str">
        <f>'Настройки'!B24</f>
        <v>Интерес команды</v>
      </c>
      <c r="C30" s="20" t="str">
        <f>IF(COUNT('Эксперт 1'!E17,'Эксперт 2'!E17,'Эксперт 3'!E17,'Эксперт 4'!E17)&lt;4,"",MIN('Эксперт 1'!E17,'Эксперт 2'!E17,'Эксперт 3'!E17,'Эксперт 4'!E17))</f>
        <v/>
      </c>
      <c r="D30" s="20" t="str">
        <f>IF(COUNT('Эксперт 1'!E17,'Эксперт 2'!E17,'Эксперт 3'!E17,'Эксперт 4'!E17)&lt;4,"",MEDIAN('Эксперт 1'!E17,'Эксперт 2'!E17,'Эксперт 3'!E17,'Эксперт 4'!E17))</f>
        <v/>
      </c>
      <c r="E30" s="20" t="str">
        <f>IF(COUNT('Эксперт 1'!E17,'Эксперт 2'!E17,'Эксперт 3'!E17,'Эксперт 4'!E17)&lt;4,"",MAX('Эксперт 1'!E17,'Эксперт 2'!E17,'Эксперт 3'!E17,'Эксперт 4'!E17))</f>
        <v/>
      </c>
      <c r="F30" s="20" t="str">
        <f>IF($B$4&lt;80,"",IF($B$10="MAX",C30/MAX(E18,E22,E26,E30),MIN(C18,C22,C26,C30)/E30))</f>
        <v/>
      </c>
      <c r="G30" s="20" t="str">
        <f>IF($B$4&lt;80,"",IF($B$10="MAX",D30/MAX(E18,E22,E26,E30),MIN(C18,C22,C26,C30)/D30))</f>
        <v/>
      </c>
      <c r="H30" s="20" t="str">
        <f>IF($B$4&lt;80,"",IF($B$10="MAX",E30/MAX(E18,E22,E26,E30),MIN(C18,C22,C26,C30)/C30))</f>
        <v/>
      </c>
      <c r="I30" s="20" t="str">
        <f t="shared" ref="I30:K30" si="18">IF(F30="","",F30*F10)</f>
        <v/>
      </c>
      <c r="J30" s="20" t="str">
        <f t="shared" si="18"/>
        <v/>
      </c>
      <c r="K30" s="20" t="str">
        <f t="shared" si="18"/>
        <v/>
      </c>
      <c r="L30" s="20" t="str">
        <f t="shared" si="3"/>
        <v/>
      </c>
      <c r="M30" s="20" t="str">
        <f t="shared" si="4"/>
        <v/>
      </c>
      <c r="N30" s="1"/>
    </row>
    <row r="31" ht="22.5" customHeight="1">
      <c r="A31" s="1"/>
      <c r="B31" s="1"/>
      <c r="C31" s="20"/>
      <c r="D31" s="20"/>
      <c r="E31" s="20"/>
      <c r="F31" s="20"/>
      <c r="G31" s="20"/>
      <c r="H31" s="20"/>
      <c r="I31" s="20"/>
      <c r="J31" s="20"/>
      <c r="K31" s="20"/>
      <c r="L31" s="20"/>
      <c r="M31" s="20"/>
      <c r="N31" s="1"/>
    </row>
    <row r="32" ht="22.5" customHeight="1">
      <c r="A32" s="1"/>
      <c r="B32" s="1"/>
      <c r="C32" s="20"/>
      <c r="D32" s="20"/>
      <c r="E32" s="20"/>
      <c r="F32" s="20"/>
      <c r="G32" s="20"/>
      <c r="H32" s="20"/>
      <c r="I32" s="20"/>
      <c r="J32" s="20"/>
      <c r="K32" s="20"/>
      <c r="L32" s="20"/>
      <c r="M32" s="20"/>
      <c r="N32" s="1"/>
    </row>
    <row r="33" ht="22.5" customHeight="1">
      <c r="A33" s="1"/>
      <c r="B33" s="1"/>
      <c r="C33" s="20"/>
      <c r="D33" s="20"/>
      <c r="E33" s="20"/>
      <c r="F33" s="20"/>
      <c r="G33" s="20"/>
      <c r="H33" s="20"/>
      <c r="I33" s="20"/>
      <c r="J33" s="20"/>
      <c r="K33" s="20"/>
      <c r="L33" s="20"/>
      <c r="M33" s="20"/>
      <c r="N33" s="1"/>
    </row>
    <row r="34" ht="36.0" customHeight="1">
      <c r="A34" s="3" t="s">
        <v>236</v>
      </c>
      <c r="B34" s="3" t="s">
        <v>288</v>
      </c>
      <c r="C34" s="21" t="s">
        <v>289</v>
      </c>
      <c r="D34" s="21" t="s">
        <v>290</v>
      </c>
      <c r="E34" s="21" t="s">
        <v>275</v>
      </c>
      <c r="F34" s="20"/>
      <c r="G34" s="20"/>
      <c r="H34" s="20"/>
      <c r="I34" s="20"/>
      <c r="J34" s="20"/>
      <c r="K34" s="20"/>
      <c r="L34" s="20"/>
      <c r="M34" s="20"/>
      <c r="N34" s="1"/>
    </row>
    <row r="35" ht="22.5" customHeight="1">
      <c r="A35" s="1" t="str">
        <f>'Настройки'!B14</f>
        <v>Детейлинг-центр</v>
      </c>
      <c r="B35" s="1" t="str">
        <f t="shared" ref="B35:C35" si="19">IF($B$4&lt;80,"",SUM(L15:L18))</f>
        <v/>
      </c>
      <c r="C35" s="20" t="str">
        <f t="shared" si="19"/>
        <v/>
      </c>
      <c r="D35" s="20" t="str">
        <f t="shared" ref="D35:D38" si="21">IF(B35="","",IF(B35+C35=0,0.5,C35/(B35+C35)))</f>
        <v/>
      </c>
      <c r="E35" s="20" t="str">
        <f t="shared" ref="E35:E38" si="22">IF(D35="","",1+COUNTIFS($D$35:$D$38,"&gt;"&amp;D35))</f>
        <v/>
      </c>
      <c r="F35" s="20"/>
      <c r="G35" s="20"/>
      <c r="H35" s="20"/>
      <c r="I35" s="20"/>
      <c r="J35" s="20"/>
      <c r="K35" s="20"/>
      <c r="L35" s="20"/>
      <c r="M35" s="20"/>
      <c r="N35" s="1"/>
    </row>
    <row r="36" ht="22.5" customHeight="1">
      <c r="A36" s="1" t="str">
        <f>'Настройки'!B15</f>
        <v>Планировщик покупок</v>
      </c>
      <c r="B36" s="1" t="str">
        <f t="shared" ref="B36:C36" si="20">IF($B$4&lt;80,"",SUM(L19:L22))</f>
        <v/>
      </c>
      <c r="C36" s="20" t="str">
        <f t="shared" si="20"/>
        <v/>
      </c>
      <c r="D36" s="20" t="str">
        <f t="shared" si="21"/>
        <v/>
      </c>
      <c r="E36" s="20" t="str">
        <f t="shared" si="22"/>
        <v/>
      </c>
      <c r="F36" s="20"/>
      <c r="G36" s="20"/>
      <c r="H36" s="20"/>
      <c r="I36" s="20"/>
      <c r="J36" s="20"/>
      <c r="K36" s="20"/>
      <c r="L36" s="20"/>
      <c r="M36" s="20"/>
      <c r="N36" s="1"/>
    </row>
    <row r="37" ht="22.5" customHeight="1">
      <c r="A37" s="1" t="str">
        <f>'Настройки'!B16</f>
        <v>Концепция 3</v>
      </c>
      <c r="B37" s="1" t="str">
        <f t="shared" ref="B37:C37" si="23">IF($B$4&lt;80,"",SUM(L23:L26))</f>
        <v/>
      </c>
      <c r="C37" s="20" t="str">
        <f t="shared" si="23"/>
        <v/>
      </c>
      <c r="D37" s="20" t="str">
        <f t="shared" si="21"/>
        <v/>
      </c>
      <c r="E37" s="20" t="str">
        <f t="shared" si="22"/>
        <v/>
      </c>
      <c r="F37" s="20"/>
      <c r="G37" s="20"/>
      <c r="H37" s="20"/>
      <c r="I37" s="20"/>
      <c r="J37" s="20"/>
      <c r="K37" s="20"/>
      <c r="L37" s="20"/>
      <c r="M37" s="20"/>
      <c r="N37" s="1"/>
    </row>
    <row r="38" ht="22.5" customHeight="1">
      <c r="A38" s="1" t="str">
        <f>'Настройки'!B17</f>
        <v>Концепция 4</v>
      </c>
      <c r="B38" s="1" t="str">
        <f t="shared" ref="B38:C38" si="24">IF($B$4&lt;80,"",SUM(L27:L30))</f>
        <v/>
      </c>
      <c r="C38" s="20" t="str">
        <f t="shared" si="24"/>
        <v/>
      </c>
      <c r="D38" s="20" t="str">
        <f t="shared" si="21"/>
        <v/>
      </c>
      <c r="E38" s="20" t="str">
        <f t="shared" si="22"/>
        <v/>
      </c>
      <c r="F38" s="20"/>
      <c r="G38" s="20"/>
      <c r="H38" s="20"/>
      <c r="I38" s="20"/>
      <c r="J38" s="20"/>
      <c r="K38" s="20"/>
      <c r="L38" s="20"/>
      <c r="M38" s="20"/>
      <c r="N38" s="1"/>
    </row>
    <row r="39" ht="22.5" customHeight="1">
      <c r="A39" s="1"/>
      <c r="B39" s="1"/>
      <c r="C39" s="1"/>
      <c r="D39" s="1"/>
      <c r="E39" s="1"/>
      <c r="F39" s="1"/>
      <c r="G39" s="1"/>
      <c r="H39" s="1"/>
      <c r="I39" s="1"/>
      <c r="J39" s="1"/>
      <c r="K39" s="1"/>
      <c r="L39" s="1"/>
      <c r="M39" s="1"/>
      <c r="N39" s="1"/>
    </row>
    <row r="40" ht="22.5" customHeight="1">
      <c r="A40" s="1"/>
      <c r="B40" s="1"/>
      <c r="C40" s="1"/>
      <c r="D40" s="1"/>
      <c r="E40" s="1"/>
      <c r="F40" s="1"/>
      <c r="G40" s="1"/>
      <c r="H40" s="1"/>
      <c r="I40" s="1"/>
      <c r="J40" s="1"/>
      <c r="K40" s="1"/>
      <c r="L40" s="1"/>
      <c r="M40" s="1"/>
      <c r="N40" s="1"/>
    </row>
    <row r="41" ht="22.5" customHeight="1">
      <c r="A41" s="1" t="s">
        <v>291</v>
      </c>
      <c r="B41" s="1"/>
      <c r="C41" s="1"/>
      <c r="D41" s="1"/>
      <c r="E41" s="1"/>
      <c r="F41" s="1"/>
      <c r="G41" s="1"/>
      <c r="H41" s="1"/>
      <c r="I41" s="1"/>
      <c r="J41" s="1"/>
      <c r="K41" s="1"/>
      <c r="L41" s="1"/>
      <c r="M41" s="1"/>
      <c r="N41" s="1"/>
    </row>
    <row r="42" ht="22.5" customHeight="1">
      <c r="A42" s="1"/>
      <c r="B42" s="1"/>
      <c r="C42" s="1"/>
      <c r="D42" s="1"/>
      <c r="E42" s="1"/>
      <c r="F42" s="1"/>
      <c r="G42" s="1"/>
      <c r="H42" s="1"/>
      <c r="I42" s="1"/>
      <c r="J42" s="1"/>
      <c r="K42" s="1"/>
      <c r="L42" s="1"/>
      <c r="M42" s="1"/>
      <c r="N42" s="1"/>
    </row>
    <row r="43" ht="22.5" customHeight="1">
      <c r="A43" s="1" t="s">
        <v>292</v>
      </c>
      <c r="B43" s="1"/>
      <c r="C43" s="1"/>
      <c r="D43" s="1"/>
      <c r="E43" s="1"/>
      <c r="F43" s="1"/>
      <c r="G43" s="1"/>
      <c r="H43" s="1"/>
      <c r="I43" s="1"/>
      <c r="J43" s="1"/>
      <c r="K43" s="1"/>
      <c r="L43" s="1"/>
      <c r="M43" s="1"/>
      <c r="N43" s="1"/>
    </row>
    <row r="44" ht="22.5" customHeight="1">
      <c r="A44" s="1"/>
      <c r="B44" s="1"/>
      <c r="C44" s="1"/>
      <c r="D44" s="1"/>
      <c r="E44" s="1"/>
      <c r="F44" s="1"/>
      <c r="G44" s="1"/>
      <c r="H44" s="1"/>
      <c r="I44" s="1"/>
      <c r="J44" s="1"/>
      <c r="K44" s="1"/>
      <c r="L44" s="1"/>
      <c r="M44" s="1"/>
      <c r="N44" s="1"/>
    </row>
    <row r="45" ht="22.5" customHeight="1">
      <c r="A45" s="1" t="s">
        <v>293</v>
      </c>
      <c r="B45" s="1"/>
      <c r="C45" s="1"/>
      <c r="D45" s="1"/>
      <c r="E45" s="1"/>
      <c r="F45" s="1"/>
      <c r="G45" s="1"/>
      <c r="H45" s="1"/>
      <c r="I45" s="1"/>
      <c r="J45" s="1"/>
      <c r="K45" s="1"/>
      <c r="L45" s="1"/>
      <c r="M45" s="1"/>
      <c r="N45" s="1"/>
    </row>
    <row r="46" ht="22.5" customHeight="1">
      <c r="A46" s="1"/>
      <c r="B46" s="1"/>
      <c r="C46" s="1"/>
      <c r="D46" s="1"/>
      <c r="E46" s="1"/>
      <c r="F46" s="1"/>
      <c r="G46" s="1"/>
      <c r="H46" s="1"/>
      <c r="I46" s="1"/>
      <c r="J46" s="1"/>
      <c r="K46" s="1"/>
      <c r="L46" s="1"/>
      <c r="M46" s="1"/>
      <c r="N46" s="1"/>
    </row>
    <row r="47" ht="22.5" customHeight="1">
      <c r="A47" s="1" t="s">
        <v>294</v>
      </c>
      <c r="B47" s="1"/>
      <c r="C47" s="1"/>
      <c r="D47" s="1"/>
      <c r="E47" s="1"/>
      <c r="F47" s="1"/>
      <c r="G47" s="1"/>
      <c r="H47" s="1"/>
      <c r="I47" s="1"/>
      <c r="J47" s="1"/>
      <c r="K47" s="1"/>
      <c r="L47" s="1"/>
      <c r="M47" s="1"/>
      <c r="N47" s="1"/>
    </row>
    <row r="48" ht="22.5" customHeight="1">
      <c r="A48" s="1"/>
      <c r="B48" s="1"/>
      <c r="C48" s="1"/>
      <c r="D48" s="1"/>
      <c r="E48" s="1"/>
      <c r="F48" s="1"/>
      <c r="G48" s="1"/>
      <c r="H48" s="1"/>
      <c r="I48" s="1"/>
      <c r="J48" s="1"/>
      <c r="K48" s="1"/>
      <c r="L48" s="1"/>
      <c r="M48" s="1"/>
      <c r="N48" s="1"/>
    </row>
    <row r="49" ht="22.5" customHeight="1">
      <c r="A49" s="1"/>
      <c r="B49" s="1"/>
      <c r="C49" s="1"/>
      <c r="D49" s="1"/>
      <c r="E49" s="1"/>
      <c r="F49" s="1"/>
      <c r="G49" s="1"/>
      <c r="H49" s="1"/>
      <c r="I49" s="1"/>
      <c r="J49" s="1"/>
      <c r="K49" s="1"/>
      <c r="L49" s="1"/>
      <c r="M49" s="1"/>
      <c r="N49" s="1"/>
    </row>
    <row r="50" ht="22.5" customHeight="1">
      <c r="A50" s="1"/>
      <c r="B50" s="1"/>
      <c r="C50" s="1"/>
      <c r="D50" s="1"/>
      <c r="E50" s="1"/>
      <c r="F50" s="1"/>
      <c r="G50" s="1"/>
      <c r="H50" s="1"/>
      <c r="I50" s="1"/>
      <c r="J50" s="1"/>
      <c r="K50" s="1"/>
      <c r="L50" s="1"/>
      <c r="M50" s="1"/>
      <c r="N50" s="1"/>
    </row>
    <row r="51" ht="22.5" customHeight="1">
      <c r="A51" s="1"/>
      <c r="B51" s="1"/>
      <c r="C51" s="1"/>
      <c r="D51" s="1"/>
      <c r="E51" s="1"/>
      <c r="F51" s="1"/>
      <c r="G51" s="1"/>
      <c r="H51" s="1"/>
      <c r="I51" s="1"/>
      <c r="J51" s="1"/>
      <c r="K51" s="1"/>
      <c r="L51" s="1"/>
      <c r="M51" s="1"/>
      <c r="N51" s="1"/>
    </row>
    <row r="52" ht="22.5" customHeight="1">
      <c r="A52" s="1"/>
      <c r="B52" s="1"/>
      <c r="C52" s="1"/>
      <c r="D52" s="1"/>
      <c r="E52" s="1"/>
      <c r="F52" s="1"/>
      <c r="G52" s="1"/>
      <c r="H52" s="1"/>
      <c r="I52" s="1"/>
      <c r="J52" s="1"/>
      <c r="K52" s="1"/>
      <c r="L52" s="1"/>
      <c r="M52" s="1"/>
      <c r="N52" s="1"/>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63"/>
    <col customWidth="1" min="2" max="5" width="19.5"/>
    <col customWidth="1" min="6" max="8" width="16.13"/>
    <col customWidth="1" min="9" max="9" width="12.0"/>
    <col customWidth="1" hidden="1" min="10" max="50" width="12.0"/>
  </cols>
  <sheetData>
    <row r="1" ht="2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31.5" customHeight="1">
      <c r="A2" s="2" t="s">
        <v>181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ht="22.5" customHeight="1">
      <c r="A4" s="1" t="s">
        <v>182</v>
      </c>
      <c r="B4" s="1">
        <f>COUNT('Эксперт 1'!C26,'Эксперт 1'!D26,'Эксперт 1'!E26,'Эксперт 1'!D27,'Эксперт 1'!E27,'Эксперт 1'!E28,'Эксперт 1'!C38,'Эксперт 1'!D38,'Эксперт 1'!E38,'Эксперт 1'!D39,'Эксперт 1'!E39,'Эксперт 1'!E40,'Эксперт 1'!C50,'Эксперт 1'!D50,'Эксперт 1'!E50,'Эксперт 1'!D51,'Эксперт 1'!E51,'Эксперт 1'!E52,'Эксперт 1'!C62,'Эксперт 1'!D62,'Эксперт 1'!E62,'Эксперт 1'!D63,'Эксперт 1'!E63,'Эксперт 1'!E64,'Эксперт 1'!C74,'Эксперт 1'!D74,'Эксперт 1'!E74,'Эксперт 1'!D75,'Эксперт 1'!E75,'Эксперт 1'!E76,'Эксперт 2'!C26,'Эксперт 2'!D26,'Эксперт 2'!E26,'Эксперт 2'!D27,'Эксперт 2'!E27,'Эксперт 2'!E28,'Эксперт 2'!C38,'Эксперт 2'!D38,'Эксперт 2'!E38,'Эксперт 2'!D39,'Эксперт 2'!E39,'Эксперт 2'!E40,'Эксперт 2'!C50,'Эксперт 2'!D50,'Эксперт 2'!E50,'Эксперт 2'!D51,'Эксперт 2'!E51,'Эксперт 2'!E52,'Эксперт 2'!C62,'Эксперт 2'!D62,'Эксперт 2'!E62,'Эксперт 2'!D63,'Эксперт 2'!E63,'Эксперт 2'!E64,'Эксперт 2'!C74,'Эксперт 2'!D74,'Эксперт 2'!E74,'Эксперт 2'!D75,'Эксперт 2'!E75,'Эксперт 2'!E76,'Эксперт 3'!C26,'Эксперт 3'!D26,'Эксперт 3'!E26,'Эксперт 3'!D27,'Эксперт 3'!E27,'Эксперт 3'!E28,'Эксперт 3'!C38,'Эксперт 3'!D38,'Эксперт 3'!E38,'Эксперт 3'!D39,'Эксперт 3'!E39,'Эксперт 3'!E40,'Эксперт 3'!C50,'Эксперт 3'!D50,'Эксперт 3'!E50,'Эксперт 3'!D51,'Эксперт 3'!E51,'Эксперт 3'!E52,'Эксперт 3'!C62,'Эксперт 3'!D62,'Эксперт 3'!E62,'Эксперт 3'!D63,'Эксперт 3'!E63,'Эксперт 3'!E64,'Эксперт 3'!C74,'Эксперт 3'!D74,'Эксперт 3'!E74,'Эксперт 3'!D75,'Эксперт 3'!E75,'Эксперт 3'!E76,'Эксперт 4'!C26,'Эксперт 4'!D26,'Эксперт 4'!E26,'Эксперт 4'!D27,'Эксперт 4'!E27,'Эксперт 4'!E28,'Эксперт 4'!C38,'Эксперт 4'!D38,'Эксперт 4'!E38,'Эксперт 4'!D39,'Эксперт 4'!E39,'Эксперт 4'!E40,'Эксперт 4'!C50,'Эксперт 4'!D50,'Эксперт 4'!E50,'Эксперт 4'!D51,'Эксперт 4'!E51,'Эксперт 4'!E52,'Эксперт 4'!C62,'Эксперт 4'!D62,'Эксперт 4'!E62,'Эксперт 4'!D63,'Эксперт 4'!E63,'Эксперт 4'!E64,'Эксперт 4'!C74,'Эксперт 4'!D74,'Эксперт 4'!E74,'Эксперт 4'!D75,'Эксперт 4'!E75,'Эксперт 4'!E76)</f>
        <v>0</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ht="22.5" customHeight="1">
      <c r="A5" s="1" t="s">
        <v>256</v>
      </c>
      <c r="B5" s="1">
        <f>IF(B28="",0,IF(B28&gt;'Настройки'!$B$31,1,0))+IF(B42="",0,IF(B42&gt;'Настройки'!$B$31,1,0))+IF(B56="",0,IF(B56&gt;'Настройки'!$B$31,1,0))+IF(B70="",0,IF(B70&gt;'Настройки'!$B$31,1,0))+IF(B84="",0,IF(B84&gt;'Настройки'!$B$31,1,0))+IF(B98="",0,IF(B98&gt;'Настройки'!$B$31,1,0))+IF(B112="",0,IF(B112&gt;'Настройки'!$B$31,1,0))+IF(B126="",0,IF(B126&gt;'Настройки'!$B$31,1,0))+IF(B140="",0,IF(B140&gt;'Настройки'!$B$31,1,0))+IF(B154="",0,IF(B154&gt;'Настройки'!$B$31,1,0))+IF(B168="",0,IF(B168&gt;'Настройки'!$B$31,1,0))+IF(B182="",0,IF(B182&gt;'Настройки'!$B$31,1,0))+IF(B196="",0,IF(B196&gt;'Настройки'!$B$31,1,0))+IF(B210="",0,IF(B210&gt;'Настройки'!$B$31,1,0))+IF(B224="",0,IF(B224&gt;'Настройки'!$B$31,1,0))+IF(B238="",0,IF(B238&gt;'Настройки'!$B$31,1,0))+IF(B252="",0,IF(B252&gt;'Настройки'!$B$31,1,0))+IF(B266="",0,IF(B266&gt;'Настройки'!$B$31,1,0))+IF(B280="",0,IF(B280&gt;'Настройки'!$B$31,1,0))+IF(B294="",0,IF(B294&gt;'Настройки'!$B$31,1,0))+IF(B308="",0,IF(B308&gt;'Настройки'!$B$31,1,0))+IF(B322="",0,IF(B322&gt;'Настройки'!$B$31,1,0))+IF(B336="",0,IF(B336&gt;'Настройки'!$B$31,1,0))+IF(B350="",0,IF(B350&gt;'Настройки'!$B$31,1,0))+IF(B364="",0,IF(B364&gt;'Настройки'!$B$31,1,0))</f>
        <v>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ht="22.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ht="22.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ht="36.0" customHeight="1">
      <c r="A8" s="3" t="s">
        <v>19</v>
      </c>
      <c r="B8" s="3" t="s">
        <v>236</v>
      </c>
      <c r="C8" s="3" t="s">
        <v>46</v>
      </c>
      <c r="D8" s="3" t="s">
        <v>57</v>
      </c>
      <c r="E8" s="3" t="s">
        <v>64</v>
      </c>
      <c r="F8" s="3" t="s">
        <v>69</v>
      </c>
      <c r="G8" s="3" t="s">
        <v>274</v>
      </c>
      <c r="H8" s="3" t="s">
        <v>275</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ht="39.75" customHeight="1">
      <c r="A9" s="1" t="s">
        <v>20</v>
      </c>
      <c r="B9" s="13" t="str">
        <f>'Настройки'!B14</f>
        <v>Детейлинг-центр</v>
      </c>
      <c r="C9" s="20" t="str">
        <f t="shared" ref="C9:C12" si="1">IF(COUNT(F36)=0,"",F36)</f>
        <v/>
      </c>
      <c r="D9" s="20" t="str">
        <f t="shared" ref="D9:D12" si="2">IF(COUNT(F50)=0,"",F50)</f>
        <v/>
      </c>
      <c r="E9" s="20" t="str">
        <f t="shared" ref="E9:E12" si="3">IF(COUNT(F64)=0,"",F64)</f>
        <v/>
      </c>
      <c r="F9" s="20" t="str">
        <f t="shared" ref="F9:F12" si="4">IF(COUNT(F78)=0,"",F78)</f>
        <v/>
      </c>
      <c r="G9" s="20" t="str">
        <f t="shared" ref="G9:G12" si="5">IF($B$4&lt;120,"",C9*$F$22+D9*$F$23+E9*$F$24+F9*$F$25)</f>
        <v/>
      </c>
      <c r="H9" s="1" t="str">
        <f t="shared" ref="H9:H12" si="6">IF(G9="","",1+COUNTIFS($G$9:$G$12,"&gt;"&amp;G9))</f>
        <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ht="39.75" customHeight="1">
      <c r="A10" s="1" t="s">
        <v>30</v>
      </c>
      <c r="B10" s="13" t="str">
        <f>'Настройки'!B15</f>
        <v>Планировщик покупок</v>
      </c>
      <c r="C10" s="20" t="str">
        <f t="shared" si="1"/>
        <v/>
      </c>
      <c r="D10" s="20" t="str">
        <f t="shared" si="2"/>
        <v/>
      </c>
      <c r="E10" s="20" t="str">
        <f t="shared" si="3"/>
        <v/>
      </c>
      <c r="F10" s="20" t="str">
        <f t="shared" si="4"/>
        <v/>
      </c>
      <c r="G10" s="20" t="str">
        <f t="shared" si="5"/>
        <v/>
      </c>
      <c r="H10" s="1" t="str">
        <f t="shared" si="6"/>
        <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ht="39.75" customHeight="1">
      <c r="A11" s="1" t="s">
        <v>33</v>
      </c>
      <c r="B11" s="13" t="str">
        <f>'Настройки'!B16</f>
        <v>Концепция 3</v>
      </c>
      <c r="C11" s="20" t="str">
        <f t="shared" si="1"/>
        <v/>
      </c>
      <c r="D11" s="20" t="str">
        <f t="shared" si="2"/>
        <v/>
      </c>
      <c r="E11" s="20" t="str">
        <f t="shared" si="3"/>
        <v/>
      </c>
      <c r="F11" s="20" t="str">
        <f t="shared" si="4"/>
        <v/>
      </c>
      <c r="G11" s="20" t="str">
        <f t="shared" si="5"/>
        <v/>
      </c>
      <c r="H11" s="1" t="str">
        <f t="shared" si="6"/>
        <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ht="39.75" customHeight="1">
      <c r="A12" s="1" t="s">
        <v>37</v>
      </c>
      <c r="B12" s="13" t="str">
        <f>'Настройки'!B17</f>
        <v>Концепция 4</v>
      </c>
      <c r="C12" s="20" t="str">
        <f t="shared" si="1"/>
        <v/>
      </c>
      <c r="D12" s="20" t="str">
        <f t="shared" si="2"/>
        <v/>
      </c>
      <c r="E12" s="20" t="str">
        <f t="shared" si="3"/>
        <v/>
      </c>
      <c r="F12" s="20" t="str">
        <f t="shared" si="4"/>
        <v/>
      </c>
      <c r="G12" s="20" t="str">
        <f t="shared" si="5"/>
        <v/>
      </c>
      <c r="H12" s="1" t="str">
        <f t="shared" si="6"/>
        <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ht="22.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ht="22.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ht="22.5" customHeight="1">
      <c r="A15" s="1" t="s">
        <v>276</v>
      </c>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ht="22.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ht="22.5" customHeight="1">
      <c r="A17" s="1" t="s">
        <v>277</v>
      </c>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ht="22.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ht="2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ht="22.5" customHeight="1">
      <c r="A20" s="1" t="s">
        <v>278</v>
      </c>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row>
    <row r="21" ht="54.0" customHeight="1">
      <c r="A21" s="3" t="s">
        <v>279</v>
      </c>
      <c r="B21" s="21" t="str">
        <f>'Настройки'!B21</f>
        <v>Практическая полезность</v>
      </c>
      <c r="C21" s="21" t="str">
        <f>'Настройки'!B22</f>
        <v>Простота реализации</v>
      </c>
      <c r="D21" s="21" t="str">
        <f>'Настройки'!B23</f>
        <v>Удобство оценки и планирования</v>
      </c>
      <c r="E21" s="21" t="str">
        <f>'Настройки'!B24</f>
        <v>Интерес команды</v>
      </c>
      <c r="F21" s="21" t="s">
        <v>274</v>
      </c>
      <c r="G21" s="21" t="s">
        <v>280</v>
      </c>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row>
    <row r="22" ht="39.75" customHeight="1">
      <c r="A22" s="13" t="str">
        <f>'Настройки'!B21</f>
        <v>Практическая полезность</v>
      </c>
      <c r="B22" s="19">
        <f>IF(COUNT('Эксперт 1'!B26,'Эксперт 2'!B26,'Эксперт 3'!B26,'Эксперт 4'!B26)&lt;4,"",PRODUCT('Эксперт 1'!B26,'Эксперт 2'!B26,'Эксперт 3'!B26,'Эксперт 4'!B26)^(1/4))</f>
        <v>1</v>
      </c>
      <c r="C22" s="19" t="str">
        <f>IF(COUNT('Эксперт 1'!C26,'Эксперт 2'!C26,'Эксперт 3'!C26,'Эксперт 4'!C26)&lt;4,"",PRODUCT('Эксперт 1'!C26,'Эксперт 2'!C26,'Эксперт 3'!C26,'Эксперт 4'!C26)^(1/4))</f>
        <v/>
      </c>
      <c r="D22" s="19" t="str">
        <f>IF(COUNT('Эксперт 1'!D26,'Эксперт 2'!D26,'Эксперт 3'!D26,'Эксперт 4'!D26)&lt;4,"",PRODUCT('Эксперт 1'!D26,'Эксперт 2'!D26,'Эксперт 3'!D26,'Эксперт 4'!D26)^(1/4))</f>
        <v/>
      </c>
      <c r="E22" s="19" t="str">
        <f>IF(COUNT('Эксперт 1'!E26,'Эксперт 2'!E26,'Эксперт 3'!E26,'Эксперт 4'!E26)&lt;4,"",PRODUCT('Эксперт 1'!E26,'Эксперт 2'!E26,'Эксперт 3'!E26,'Эксперт 4'!E26)^(1/4))</f>
        <v/>
      </c>
      <c r="F22" s="19" t="str">
        <f t="shared" ref="F22:F25" si="8">IF(AX22="","",AX22/SUM(AX$22:AX$25))</f>
        <v/>
      </c>
      <c r="G22" s="19" t="str">
        <f t="shared" ref="G22:G25" si="9">IF(F22="","",(B22*$F$22+C22*$F$23+D22*$F$24+E22*$F$25)/F22)</f>
        <v/>
      </c>
      <c r="H22" s="20"/>
      <c r="I22" s="20"/>
      <c r="J22" s="20" t="str">
        <f t="shared" ref="J22:J25" si="10">IF(COUNT($B$22:$E$25)&lt;16,"",1/4)</f>
        <v/>
      </c>
      <c r="K22" s="20" t="str">
        <f t="shared" ref="K22:AX22" si="7">IF(J22="","",($B22*J$22+$C22*J$23+$D22*J$24+$E22*J$25)/SUM(J$22:J$25))</f>
        <v/>
      </c>
      <c r="L22" s="20" t="str">
        <f t="shared" si="7"/>
        <v/>
      </c>
      <c r="M22" s="20" t="str">
        <f t="shared" si="7"/>
        <v/>
      </c>
      <c r="N22" s="20" t="str">
        <f t="shared" si="7"/>
        <v/>
      </c>
      <c r="O22" s="20" t="str">
        <f t="shared" si="7"/>
        <v/>
      </c>
      <c r="P22" s="20" t="str">
        <f t="shared" si="7"/>
        <v/>
      </c>
      <c r="Q22" s="20" t="str">
        <f t="shared" si="7"/>
        <v/>
      </c>
      <c r="R22" s="20" t="str">
        <f t="shared" si="7"/>
        <v/>
      </c>
      <c r="S22" s="20" t="str">
        <f t="shared" si="7"/>
        <v/>
      </c>
      <c r="T22" s="20" t="str">
        <f t="shared" si="7"/>
        <v/>
      </c>
      <c r="U22" s="20" t="str">
        <f t="shared" si="7"/>
        <v/>
      </c>
      <c r="V22" s="20" t="str">
        <f t="shared" si="7"/>
        <v/>
      </c>
      <c r="W22" s="20" t="str">
        <f t="shared" si="7"/>
        <v/>
      </c>
      <c r="X22" s="20" t="str">
        <f t="shared" si="7"/>
        <v/>
      </c>
      <c r="Y22" s="20" t="str">
        <f t="shared" si="7"/>
        <v/>
      </c>
      <c r="Z22" s="20" t="str">
        <f t="shared" si="7"/>
        <v/>
      </c>
      <c r="AA22" s="20" t="str">
        <f t="shared" si="7"/>
        <v/>
      </c>
      <c r="AB22" s="20" t="str">
        <f t="shared" si="7"/>
        <v/>
      </c>
      <c r="AC22" s="20" t="str">
        <f t="shared" si="7"/>
        <v/>
      </c>
      <c r="AD22" s="20" t="str">
        <f t="shared" si="7"/>
        <v/>
      </c>
      <c r="AE22" s="20" t="str">
        <f t="shared" si="7"/>
        <v/>
      </c>
      <c r="AF22" s="20" t="str">
        <f t="shared" si="7"/>
        <v/>
      </c>
      <c r="AG22" s="20" t="str">
        <f t="shared" si="7"/>
        <v/>
      </c>
      <c r="AH22" s="20" t="str">
        <f t="shared" si="7"/>
        <v/>
      </c>
      <c r="AI22" s="20" t="str">
        <f t="shared" si="7"/>
        <v/>
      </c>
      <c r="AJ22" s="20" t="str">
        <f t="shared" si="7"/>
        <v/>
      </c>
      <c r="AK22" s="20" t="str">
        <f t="shared" si="7"/>
        <v/>
      </c>
      <c r="AL22" s="20" t="str">
        <f t="shared" si="7"/>
        <v/>
      </c>
      <c r="AM22" s="20" t="str">
        <f t="shared" si="7"/>
        <v/>
      </c>
      <c r="AN22" s="20" t="str">
        <f t="shared" si="7"/>
        <v/>
      </c>
      <c r="AO22" s="20" t="str">
        <f t="shared" si="7"/>
        <v/>
      </c>
      <c r="AP22" s="20" t="str">
        <f t="shared" si="7"/>
        <v/>
      </c>
      <c r="AQ22" s="20" t="str">
        <f t="shared" si="7"/>
        <v/>
      </c>
      <c r="AR22" s="20" t="str">
        <f t="shared" si="7"/>
        <v/>
      </c>
      <c r="AS22" s="20" t="str">
        <f t="shared" si="7"/>
        <v/>
      </c>
      <c r="AT22" s="20" t="str">
        <f t="shared" si="7"/>
        <v/>
      </c>
      <c r="AU22" s="20" t="str">
        <f t="shared" si="7"/>
        <v/>
      </c>
      <c r="AV22" s="20" t="str">
        <f t="shared" si="7"/>
        <v/>
      </c>
      <c r="AW22" s="20" t="str">
        <f t="shared" si="7"/>
        <v/>
      </c>
      <c r="AX22" s="20" t="str">
        <f t="shared" si="7"/>
        <v/>
      </c>
    </row>
    <row r="23" ht="39.75" customHeight="1">
      <c r="A23" s="13" t="str">
        <f>'Настройки'!B22</f>
        <v>Простота реализации</v>
      </c>
      <c r="B23" s="19" t="str">
        <f>IF(COUNT('Эксперт 1'!B27,'Эксперт 2'!B27,'Эксперт 3'!B27,'Эксперт 4'!B27)&lt;4,"",PRODUCT('Эксперт 1'!B27,'Эксперт 2'!B27,'Эксперт 3'!B27,'Эксперт 4'!B27)^(1/4))</f>
        <v/>
      </c>
      <c r="C23" s="19">
        <f>IF(COUNT('Эксперт 1'!C27,'Эксперт 2'!C27,'Эксперт 3'!C27,'Эксперт 4'!C27)&lt;4,"",PRODUCT('Эксперт 1'!C27,'Эксперт 2'!C27,'Эксперт 3'!C27,'Эксперт 4'!C27)^(1/4))</f>
        <v>1</v>
      </c>
      <c r="D23" s="19" t="str">
        <f>IF(COUNT('Эксперт 1'!D27,'Эксперт 2'!D27,'Эксперт 3'!D27,'Эксперт 4'!D27)&lt;4,"",PRODUCT('Эксперт 1'!D27,'Эксперт 2'!D27,'Эксперт 3'!D27,'Эксперт 4'!D27)^(1/4))</f>
        <v/>
      </c>
      <c r="E23" s="19" t="str">
        <f>IF(COUNT('Эксперт 1'!E27,'Эксперт 2'!E27,'Эксперт 3'!E27,'Эксперт 4'!E27)&lt;4,"",PRODUCT('Эксперт 1'!E27,'Эксперт 2'!E27,'Эксперт 3'!E27,'Эксперт 4'!E27)^(1/4))</f>
        <v/>
      </c>
      <c r="F23" s="19" t="str">
        <f t="shared" si="8"/>
        <v/>
      </c>
      <c r="G23" s="19" t="str">
        <f t="shared" si="9"/>
        <v/>
      </c>
      <c r="H23" s="20"/>
      <c r="I23" s="20"/>
      <c r="J23" s="20" t="str">
        <f t="shared" si="10"/>
        <v/>
      </c>
      <c r="K23" s="20" t="str">
        <f t="shared" ref="K23:AX23" si="11">IF(J23="","",($B23*J$22+$C23*J$23+$D23*J$24+$E23*J$25)/SUM(J$22:J$25))</f>
        <v/>
      </c>
      <c r="L23" s="20" t="str">
        <f t="shared" si="11"/>
        <v/>
      </c>
      <c r="M23" s="20" t="str">
        <f t="shared" si="11"/>
        <v/>
      </c>
      <c r="N23" s="20" t="str">
        <f t="shared" si="11"/>
        <v/>
      </c>
      <c r="O23" s="20" t="str">
        <f t="shared" si="11"/>
        <v/>
      </c>
      <c r="P23" s="20" t="str">
        <f t="shared" si="11"/>
        <v/>
      </c>
      <c r="Q23" s="20" t="str">
        <f t="shared" si="11"/>
        <v/>
      </c>
      <c r="R23" s="20" t="str">
        <f t="shared" si="11"/>
        <v/>
      </c>
      <c r="S23" s="20" t="str">
        <f t="shared" si="11"/>
        <v/>
      </c>
      <c r="T23" s="20" t="str">
        <f t="shared" si="11"/>
        <v/>
      </c>
      <c r="U23" s="20" t="str">
        <f t="shared" si="11"/>
        <v/>
      </c>
      <c r="V23" s="20" t="str">
        <f t="shared" si="11"/>
        <v/>
      </c>
      <c r="W23" s="20" t="str">
        <f t="shared" si="11"/>
        <v/>
      </c>
      <c r="X23" s="20" t="str">
        <f t="shared" si="11"/>
        <v/>
      </c>
      <c r="Y23" s="20" t="str">
        <f t="shared" si="11"/>
        <v/>
      </c>
      <c r="Z23" s="20" t="str">
        <f t="shared" si="11"/>
        <v/>
      </c>
      <c r="AA23" s="20" t="str">
        <f t="shared" si="11"/>
        <v/>
      </c>
      <c r="AB23" s="20" t="str">
        <f t="shared" si="11"/>
        <v/>
      </c>
      <c r="AC23" s="20" t="str">
        <f t="shared" si="11"/>
        <v/>
      </c>
      <c r="AD23" s="20" t="str">
        <f t="shared" si="11"/>
        <v/>
      </c>
      <c r="AE23" s="20" t="str">
        <f t="shared" si="11"/>
        <v/>
      </c>
      <c r="AF23" s="20" t="str">
        <f t="shared" si="11"/>
        <v/>
      </c>
      <c r="AG23" s="20" t="str">
        <f t="shared" si="11"/>
        <v/>
      </c>
      <c r="AH23" s="20" t="str">
        <f t="shared" si="11"/>
        <v/>
      </c>
      <c r="AI23" s="20" t="str">
        <f t="shared" si="11"/>
        <v/>
      </c>
      <c r="AJ23" s="20" t="str">
        <f t="shared" si="11"/>
        <v/>
      </c>
      <c r="AK23" s="20" t="str">
        <f t="shared" si="11"/>
        <v/>
      </c>
      <c r="AL23" s="20" t="str">
        <f t="shared" si="11"/>
        <v/>
      </c>
      <c r="AM23" s="20" t="str">
        <f t="shared" si="11"/>
        <v/>
      </c>
      <c r="AN23" s="20" t="str">
        <f t="shared" si="11"/>
        <v/>
      </c>
      <c r="AO23" s="20" t="str">
        <f t="shared" si="11"/>
        <v/>
      </c>
      <c r="AP23" s="20" t="str">
        <f t="shared" si="11"/>
        <v/>
      </c>
      <c r="AQ23" s="20" t="str">
        <f t="shared" si="11"/>
        <v/>
      </c>
      <c r="AR23" s="20" t="str">
        <f t="shared" si="11"/>
        <v/>
      </c>
      <c r="AS23" s="20" t="str">
        <f t="shared" si="11"/>
        <v/>
      </c>
      <c r="AT23" s="20" t="str">
        <f t="shared" si="11"/>
        <v/>
      </c>
      <c r="AU23" s="20" t="str">
        <f t="shared" si="11"/>
        <v/>
      </c>
      <c r="AV23" s="20" t="str">
        <f t="shared" si="11"/>
        <v/>
      </c>
      <c r="AW23" s="20" t="str">
        <f t="shared" si="11"/>
        <v/>
      </c>
      <c r="AX23" s="20" t="str">
        <f t="shared" si="11"/>
        <v/>
      </c>
    </row>
    <row r="24" ht="39.75" customHeight="1">
      <c r="A24" s="13" t="str">
        <f>'Настройки'!B23</f>
        <v>Удобство оценки и планирования</v>
      </c>
      <c r="B24" s="19" t="str">
        <f>IF(COUNT('Эксперт 1'!B28,'Эксперт 2'!B28,'Эксперт 3'!B28,'Эксперт 4'!B28)&lt;4,"",PRODUCT('Эксперт 1'!B28,'Эксперт 2'!B28,'Эксперт 3'!B28,'Эксперт 4'!B28)^(1/4))</f>
        <v/>
      </c>
      <c r="C24" s="19" t="str">
        <f>IF(COUNT('Эксперт 1'!C28,'Эксперт 2'!C28,'Эксперт 3'!C28,'Эксперт 4'!C28)&lt;4,"",PRODUCT('Эксперт 1'!C28,'Эксперт 2'!C28,'Эксперт 3'!C28,'Эксперт 4'!C28)^(1/4))</f>
        <v/>
      </c>
      <c r="D24" s="19">
        <f>IF(COUNT('Эксперт 1'!D28,'Эксперт 2'!D28,'Эксперт 3'!D28,'Эксперт 4'!D28)&lt;4,"",PRODUCT('Эксперт 1'!D28,'Эксперт 2'!D28,'Эксперт 3'!D28,'Эксперт 4'!D28)^(1/4))</f>
        <v>1</v>
      </c>
      <c r="E24" s="19" t="str">
        <f>IF(COUNT('Эксперт 1'!E28,'Эксперт 2'!E28,'Эксперт 3'!E28,'Эксперт 4'!E28)&lt;4,"",PRODUCT('Эксперт 1'!E28,'Эксперт 2'!E28,'Эксперт 3'!E28,'Эксперт 4'!E28)^(1/4))</f>
        <v/>
      </c>
      <c r="F24" s="19" t="str">
        <f t="shared" si="8"/>
        <v/>
      </c>
      <c r="G24" s="19" t="str">
        <f t="shared" si="9"/>
        <v/>
      </c>
      <c r="H24" s="20"/>
      <c r="I24" s="20"/>
      <c r="J24" s="20" t="str">
        <f t="shared" si="10"/>
        <v/>
      </c>
      <c r="K24" s="20" t="str">
        <f t="shared" ref="K24:AX24" si="12">IF(J24="","",($B24*J$22+$C24*J$23+$D24*J$24+$E24*J$25)/SUM(J$22:J$25))</f>
        <v/>
      </c>
      <c r="L24" s="20" t="str">
        <f t="shared" si="12"/>
        <v/>
      </c>
      <c r="M24" s="20" t="str">
        <f t="shared" si="12"/>
        <v/>
      </c>
      <c r="N24" s="20" t="str">
        <f t="shared" si="12"/>
        <v/>
      </c>
      <c r="O24" s="20" t="str">
        <f t="shared" si="12"/>
        <v/>
      </c>
      <c r="P24" s="20" t="str">
        <f t="shared" si="12"/>
        <v/>
      </c>
      <c r="Q24" s="20" t="str">
        <f t="shared" si="12"/>
        <v/>
      </c>
      <c r="R24" s="20" t="str">
        <f t="shared" si="12"/>
        <v/>
      </c>
      <c r="S24" s="20" t="str">
        <f t="shared" si="12"/>
        <v/>
      </c>
      <c r="T24" s="20" t="str">
        <f t="shared" si="12"/>
        <v/>
      </c>
      <c r="U24" s="20" t="str">
        <f t="shared" si="12"/>
        <v/>
      </c>
      <c r="V24" s="20" t="str">
        <f t="shared" si="12"/>
        <v/>
      </c>
      <c r="W24" s="20" t="str">
        <f t="shared" si="12"/>
        <v/>
      </c>
      <c r="X24" s="20" t="str">
        <f t="shared" si="12"/>
        <v/>
      </c>
      <c r="Y24" s="20" t="str">
        <f t="shared" si="12"/>
        <v/>
      </c>
      <c r="Z24" s="20" t="str">
        <f t="shared" si="12"/>
        <v/>
      </c>
      <c r="AA24" s="20" t="str">
        <f t="shared" si="12"/>
        <v/>
      </c>
      <c r="AB24" s="20" t="str">
        <f t="shared" si="12"/>
        <v/>
      </c>
      <c r="AC24" s="20" t="str">
        <f t="shared" si="12"/>
        <v/>
      </c>
      <c r="AD24" s="20" t="str">
        <f t="shared" si="12"/>
        <v/>
      </c>
      <c r="AE24" s="20" t="str">
        <f t="shared" si="12"/>
        <v/>
      </c>
      <c r="AF24" s="20" t="str">
        <f t="shared" si="12"/>
        <v/>
      </c>
      <c r="AG24" s="20" t="str">
        <f t="shared" si="12"/>
        <v/>
      </c>
      <c r="AH24" s="20" t="str">
        <f t="shared" si="12"/>
        <v/>
      </c>
      <c r="AI24" s="20" t="str">
        <f t="shared" si="12"/>
        <v/>
      </c>
      <c r="AJ24" s="20" t="str">
        <f t="shared" si="12"/>
        <v/>
      </c>
      <c r="AK24" s="20" t="str">
        <f t="shared" si="12"/>
        <v/>
      </c>
      <c r="AL24" s="20" t="str">
        <f t="shared" si="12"/>
        <v/>
      </c>
      <c r="AM24" s="20" t="str">
        <f t="shared" si="12"/>
        <v/>
      </c>
      <c r="AN24" s="20" t="str">
        <f t="shared" si="12"/>
        <v/>
      </c>
      <c r="AO24" s="20" t="str">
        <f t="shared" si="12"/>
        <v/>
      </c>
      <c r="AP24" s="20" t="str">
        <f t="shared" si="12"/>
        <v/>
      </c>
      <c r="AQ24" s="20" t="str">
        <f t="shared" si="12"/>
        <v/>
      </c>
      <c r="AR24" s="20" t="str">
        <f t="shared" si="12"/>
        <v/>
      </c>
      <c r="AS24" s="20" t="str">
        <f t="shared" si="12"/>
        <v/>
      </c>
      <c r="AT24" s="20" t="str">
        <f t="shared" si="12"/>
        <v/>
      </c>
      <c r="AU24" s="20" t="str">
        <f t="shared" si="12"/>
        <v/>
      </c>
      <c r="AV24" s="20" t="str">
        <f t="shared" si="12"/>
        <v/>
      </c>
      <c r="AW24" s="20" t="str">
        <f t="shared" si="12"/>
        <v/>
      </c>
      <c r="AX24" s="20" t="str">
        <f t="shared" si="12"/>
        <v/>
      </c>
    </row>
    <row r="25" ht="39.75" customHeight="1">
      <c r="A25" s="13" t="str">
        <f>'Настройки'!B24</f>
        <v>Интерес команды</v>
      </c>
      <c r="B25" s="19" t="str">
        <f>IF(COUNT('Эксперт 1'!B29,'Эксперт 2'!B29,'Эксперт 3'!B29,'Эксперт 4'!B29)&lt;4,"",PRODUCT('Эксперт 1'!B29,'Эксперт 2'!B29,'Эксперт 3'!B29,'Эксперт 4'!B29)^(1/4))</f>
        <v/>
      </c>
      <c r="C25" s="19" t="str">
        <f>IF(COUNT('Эксперт 1'!C29,'Эксперт 2'!C29,'Эксперт 3'!C29,'Эксперт 4'!C29)&lt;4,"",PRODUCT('Эксперт 1'!C29,'Эксперт 2'!C29,'Эксперт 3'!C29,'Эксперт 4'!C29)^(1/4))</f>
        <v/>
      </c>
      <c r="D25" s="19" t="str">
        <f>IF(COUNT('Эксперт 1'!D29,'Эксперт 2'!D29,'Эксперт 3'!D29,'Эксперт 4'!D29)&lt;4,"",PRODUCT('Эксперт 1'!D29,'Эксперт 2'!D29,'Эксперт 3'!D29,'Эксперт 4'!D29)^(1/4))</f>
        <v/>
      </c>
      <c r="E25" s="19">
        <f>IF(COUNT('Эксперт 1'!E29,'Эксперт 2'!E29,'Эксперт 3'!E29,'Эксперт 4'!E29)&lt;4,"",PRODUCT('Эксперт 1'!E29,'Эксперт 2'!E29,'Эксперт 3'!E29,'Эксперт 4'!E29)^(1/4))</f>
        <v>1</v>
      </c>
      <c r="F25" s="19" t="str">
        <f t="shared" si="8"/>
        <v/>
      </c>
      <c r="G25" s="19" t="str">
        <f t="shared" si="9"/>
        <v/>
      </c>
      <c r="H25" s="20"/>
      <c r="I25" s="20"/>
      <c r="J25" s="20" t="str">
        <f t="shared" si="10"/>
        <v/>
      </c>
      <c r="K25" s="20" t="str">
        <f t="shared" ref="K25:AX25" si="13">IF(J25="","",($B25*J$22+$C25*J$23+$D25*J$24+$E25*J$25)/SUM(J$22:J$25))</f>
        <v/>
      </c>
      <c r="L25" s="20" t="str">
        <f t="shared" si="13"/>
        <v/>
      </c>
      <c r="M25" s="20" t="str">
        <f t="shared" si="13"/>
        <v/>
      </c>
      <c r="N25" s="20" t="str">
        <f t="shared" si="13"/>
        <v/>
      </c>
      <c r="O25" s="20" t="str">
        <f t="shared" si="13"/>
        <v/>
      </c>
      <c r="P25" s="20" t="str">
        <f t="shared" si="13"/>
        <v/>
      </c>
      <c r="Q25" s="20" t="str">
        <f t="shared" si="13"/>
        <v/>
      </c>
      <c r="R25" s="20" t="str">
        <f t="shared" si="13"/>
        <v/>
      </c>
      <c r="S25" s="20" t="str">
        <f t="shared" si="13"/>
        <v/>
      </c>
      <c r="T25" s="20" t="str">
        <f t="shared" si="13"/>
        <v/>
      </c>
      <c r="U25" s="20" t="str">
        <f t="shared" si="13"/>
        <v/>
      </c>
      <c r="V25" s="20" t="str">
        <f t="shared" si="13"/>
        <v/>
      </c>
      <c r="W25" s="20" t="str">
        <f t="shared" si="13"/>
        <v/>
      </c>
      <c r="X25" s="20" t="str">
        <f t="shared" si="13"/>
        <v/>
      </c>
      <c r="Y25" s="20" t="str">
        <f t="shared" si="13"/>
        <v/>
      </c>
      <c r="Z25" s="20" t="str">
        <f t="shared" si="13"/>
        <v/>
      </c>
      <c r="AA25" s="20" t="str">
        <f t="shared" si="13"/>
        <v/>
      </c>
      <c r="AB25" s="20" t="str">
        <f t="shared" si="13"/>
        <v/>
      </c>
      <c r="AC25" s="20" t="str">
        <f t="shared" si="13"/>
        <v/>
      </c>
      <c r="AD25" s="20" t="str">
        <f t="shared" si="13"/>
        <v/>
      </c>
      <c r="AE25" s="20" t="str">
        <f t="shared" si="13"/>
        <v/>
      </c>
      <c r="AF25" s="20" t="str">
        <f t="shared" si="13"/>
        <v/>
      </c>
      <c r="AG25" s="20" t="str">
        <f t="shared" si="13"/>
        <v/>
      </c>
      <c r="AH25" s="20" t="str">
        <f t="shared" si="13"/>
        <v/>
      </c>
      <c r="AI25" s="20" t="str">
        <f t="shared" si="13"/>
        <v/>
      </c>
      <c r="AJ25" s="20" t="str">
        <f t="shared" si="13"/>
        <v/>
      </c>
      <c r="AK25" s="20" t="str">
        <f t="shared" si="13"/>
        <v/>
      </c>
      <c r="AL25" s="20" t="str">
        <f t="shared" si="13"/>
        <v/>
      </c>
      <c r="AM25" s="20" t="str">
        <f t="shared" si="13"/>
        <v/>
      </c>
      <c r="AN25" s="20" t="str">
        <f t="shared" si="13"/>
        <v/>
      </c>
      <c r="AO25" s="20" t="str">
        <f t="shared" si="13"/>
        <v/>
      </c>
      <c r="AP25" s="20" t="str">
        <f t="shared" si="13"/>
        <v/>
      </c>
      <c r="AQ25" s="20" t="str">
        <f t="shared" si="13"/>
        <v/>
      </c>
      <c r="AR25" s="20" t="str">
        <f t="shared" si="13"/>
        <v/>
      </c>
      <c r="AS25" s="20" t="str">
        <f t="shared" si="13"/>
        <v/>
      </c>
      <c r="AT25" s="20" t="str">
        <f t="shared" si="13"/>
        <v/>
      </c>
      <c r="AU25" s="20" t="str">
        <f t="shared" si="13"/>
        <v/>
      </c>
      <c r="AV25" s="20" t="str">
        <f t="shared" si="13"/>
        <v/>
      </c>
      <c r="AW25" s="20" t="str">
        <f t="shared" si="13"/>
        <v/>
      </c>
      <c r="AX25" s="20" t="str">
        <f t="shared" si="13"/>
        <v/>
      </c>
    </row>
    <row r="26" ht="22.5" customHeight="1">
      <c r="A26" s="1"/>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row>
    <row r="27" ht="22.5" customHeight="1">
      <c r="A27" s="1" t="s">
        <v>281</v>
      </c>
      <c r="B27" s="20" t="s">
        <v>282</v>
      </c>
      <c r="C27" s="20" t="s">
        <v>283</v>
      </c>
      <c r="D27" s="20" t="s">
        <v>284</v>
      </c>
      <c r="E27" s="20" t="s">
        <v>285</v>
      </c>
      <c r="F27" s="20" t="s">
        <v>286</v>
      </c>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row>
    <row r="28" ht="22.5" customHeight="1">
      <c r="A28" s="1"/>
      <c r="B28" s="20" t="str">
        <f>IF(COUNT(C28)=0,"",C28/'Настройки'!$B$32)</f>
        <v/>
      </c>
      <c r="C28" s="20" t="str">
        <f>IF(D28="","",MAX(0,(D28-4)/3))</f>
        <v/>
      </c>
      <c r="D28" s="20" t="str">
        <f>IF(COUNT(G22:G25)&lt;4,"",AVERAGE(G22:G25))</f>
        <v/>
      </c>
      <c r="E28" s="20" t="str">
        <f>IF(D28="","",SUM(F22:F25))</f>
        <v/>
      </c>
      <c r="F28" s="20" t="str">
        <f>IF(D28="","",MAX(ABS((G22-$D$28)*F22),ABS((G23-$D$28)*F23),ABS((G24-$D$28)*F24),ABS((G25-$D$28)*F25)))</f>
        <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row>
    <row r="29" ht="22.5" customHeight="1">
      <c r="A29" s="1"/>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row>
    <row r="30" ht="22.5" customHeight="1">
      <c r="A30" s="1" t="str">
        <f>IF(COUNT(B28)=0,"Нет оценок",IF(F28&gt;0.00000001,"Недостаточная сходимость",IF(B28&lt;='Настройки'!$B$31,"Согласовано","Пересмотреть сравнения")))</f>
        <v>Нет оценок</v>
      </c>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row>
    <row r="31" ht="22.5" customHeight="1">
      <c r="A31" s="1"/>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row>
    <row r="32" ht="22.5" customHeight="1">
      <c r="A32" s="1"/>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row>
    <row r="33" ht="22.5" customHeight="1">
      <c r="A33" s="1"/>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row>
    <row r="34" ht="22.5" customHeight="1">
      <c r="A34" s="1" t="s">
        <v>287</v>
      </c>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row>
    <row r="35" ht="54.0" customHeight="1">
      <c r="A35" s="3" t="s">
        <v>279</v>
      </c>
      <c r="B35" s="21" t="str">
        <f>'Настройки'!B14</f>
        <v>Детейлинг-центр</v>
      </c>
      <c r="C35" s="21" t="str">
        <f>'Настройки'!B15</f>
        <v>Планировщик покупок</v>
      </c>
      <c r="D35" s="21" t="str">
        <f>'Настройки'!B16</f>
        <v>Концепция 3</v>
      </c>
      <c r="E35" s="21" t="str">
        <f>'Настройки'!B17</f>
        <v>Концепция 4</v>
      </c>
      <c r="F35" s="21" t="s">
        <v>274</v>
      </c>
      <c r="G35" s="21" t="s">
        <v>280</v>
      </c>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row>
    <row r="36" ht="39.75" customHeight="1">
      <c r="A36" s="13" t="str">
        <f>'Настройки'!B14</f>
        <v>Детейлинг-центр</v>
      </c>
      <c r="B36" s="19">
        <f>IF(COUNT('Эксперт 1'!B38,'Эксперт 2'!B38,'Эксперт 3'!B38,'Эксперт 4'!B38)&lt;4,"",PRODUCT('Эксперт 1'!B38,'Эксперт 2'!B38,'Эксперт 3'!B38,'Эксперт 4'!B38)^(1/4))</f>
        <v>1</v>
      </c>
      <c r="C36" s="19" t="str">
        <f>IF(COUNT('Эксперт 1'!C38,'Эксперт 2'!C38,'Эксперт 3'!C38,'Эксперт 4'!C38)&lt;4,"",PRODUCT('Эксперт 1'!C38,'Эксперт 2'!C38,'Эксперт 3'!C38,'Эксперт 4'!C38)^(1/4))</f>
        <v/>
      </c>
      <c r="D36" s="19" t="str">
        <f>IF(COUNT('Эксперт 1'!D38,'Эксперт 2'!D38,'Эксперт 3'!D38,'Эксперт 4'!D38)&lt;4,"",PRODUCT('Эксперт 1'!D38,'Эксперт 2'!D38,'Эксперт 3'!D38,'Эксперт 4'!D38)^(1/4))</f>
        <v/>
      </c>
      <c r="E36" s="19" t="str">
        <f>IF(COUNT('Эксперт 1'!E38,'Эксперт 2'!E38,'Эксперт 3'!E38,'Эксперт 4'!E38)&lt;4,"",PRODUCT('Эксперт 1'!E38,'Эксперт 2'!E38,'Эксперт 3'!E38,'Эксперт 4'!E38)^(1/4))</f>
        <v/>
      </c>
      <c r="F36" s="19" t="str">
        <f t="shared" ref="F36:F39" si="15">IF(AX36="","",AX36/SUM(AX$36:AX$39))</f>
        <v/>
      </c>
      <c r="G36" s="19" t="str">
        <f t="shared" ref="G36:G39" si="16">IF(F36="","",(B36*$F$36+C36*$F$37+D36*$F$38+E36*$F$39)/F36)</f>
        <v/>
      </c>
      <c r="H36" s="20"/>
      <c r="I36" s="20"/>
      <c r="J36" s="20" t="str">
        <f t="shared" ref="J36:J39" si="17">IF(COUNT($B$36:$E$39)&lt;16,"",1/4)</f>
        <v/>
      </c>
      <c r="K36" s="20" t="str">
        <f t="shared" ref="K36:AX36" si="14">IF(J36="","",($B36*J$36+$C36*J$37+$D36*J$38+$E36*J$39)/SUM(J$36:J$39))</f>
        <v/>
      </c>
      <c r="L36" s="20" t="str">
        <f t="shared" si="14"/>
        <v/>
      </c>
      <c r="M36" s="20" t="str">
        <f t="shared" si="14"/>
        <v/>
      </c>
      <c r="N36" s="20" t="str">
        <f t="shared" si="14"/>
        <v/>
      </c>
      <c r="O36" s="20" t="str">
        <f t="shared" si="14"/>
        <v/>
      </c>
      <c r="P36" s="20" t="str">
        <f t="shared" si="14"/>
        <v/>
      </c>
      <c r="Q36" s="20" t="str">
        <f t="shared" si="14"/>
        <v/>
      </c>
      <c r="R36" s="20" t="str">
        <f t="shared" si="14"/>
        <v/>
      </c>
      <c r="S36" s="20" t="str">
        <f t="shared" si="14"/>
        <v/>
      </c>
      <c r="T36" s="20" t="str">
        <f t="shared" si="14"/>
        <v/>
      </c>
      <c r="U36" s="20" t="str">
        <f t="shared" si="14"/>
        <v/>
      </c>
      <c r="V36" s="20" t="str">
        <f t="shared" si="14"/>
        <v/>
      </c>
      <c r="W36" s="20" t="str">
        <f t="shared" si="14"/>
        <v/>
      </c>
      <c r="X36" s="20" t="str">
        <f t="shared" si="14"/>
        <v/>
      </c>
      <c r="Y36" s="20" t="str">
        <f t="shared" si="14"/>
        <v/>
      </c>
      <c r="Z36" s="20" t="str">
        <f t="shared" si="14"/>
        <v/>
      </c>
      <c r="AA36" s="20" t="str">
        <f t="shared" si="14"/>
        <v/>
      </c>
      <c r="AB36" s="20" t="str">
        <f t="shared" si="14"/>
        <v/>
      </c>
      <c r="AC36" s="20" t="str">
        <f t="shared" si="14"/>
        <v/>
      </c>
      <c r="AD36" s="20" t="str">
        <f t="shared" si="14"/>
        <v/>
      </c>
      <c r="AE36" s="20" t="str">
        <f t="shared" si="14"/>
        <v/>
      </c>
      <c r="AF36" s="20" t="str">
        <f t="shared" si="14"/>
        <v/>
      </c>
      <c r="AG36" s="20" t="str">
        <f t="shared" si="14"/>
        <v/>
      </c>
      <c r="AH36" s="20" t="str">
        <f t="shared" si="14"/>
        <v/>
      </c>
      <c r="AI36" s="20" t="str">
        <f t="shared" si="14"/>
        <v/>
      </c>
      <c r="AJ36" s="20" t="str">
        <f t="shared" si="14"/>
        <v/>
      </c>
      <c r="AK36" s="20" t="str">
        <f t="shared" si="14"/>
        <v/>
      </c>
      <c r="AL36" s="20" t="str">
        <f t="shared" si="14"/>
        <v/>
      </c>
      <c r="AM36" s="20" t="str">
        <f t="shared" si="14"/>
        <v/>
      </c>
      <c r="AN36" s="20" t="str">
        <f t="shared" si="14"/>
        <v/>
      </c>
      <c r="AO36" s="20" t="str">
        <f t="shared" si="14"/>
        <v/>
      </c>
      <c r="AP36" s="20" t="str">
        <f t="shared" si="14"/>
        <v/>
      </c>
      <c r="AQ36" s="20" t="str">
        <f t="shared" si="14"/>
        <v/>
      </c>
      <c r="AR36" s="20" t="str">
        <f t="shared" si="14"/>
        <v/>
      </c>
      <c r="AS36" s="20" t="str">
        <f t="shared" si="14"/>
        <v/>
      </c>
      <c r="AT36" s="20" t="str">
        <f t="shared" si="14"/>
        <v/>
      </c>
      <c r="AU36" s="20" t="str">
        <f t="shared" si="14"/>
        <v/>
      </c>
      <c r="AV36" s="20" t="str">
        <f t="shared" si="14"/>
        <v/>
      </c>
      <c r="AW36" s="20" t="str">
        <f t="shared" si="14"/>
        <v/>
      </c>
      <c r="AX36" s="20" t="str">
        <f t="shared" si="14"/>
        <v/>
      </c>
    </row>
    <row r="37" ht="39.75" customHeight="1">
      <c r="A37" s="13" t="str">
        <f>'Настройки'!B15</f>
        <v>Планировщик покупок</v>
      </c>
      <c r="B37" s="19" t="str">
        <f>IF(COUNT('Эксперт 1'!B39,'Эксперт 2'!B39,'Эксперт 3'!B39,'Эксперт 4'!B39)&lt;4,"",PRODUCT('Эксперт 1'!B39,'Эксперт 2'!B39,'Эксперт 3'!B39,'Эксперт 4'!B39)^(1/4))</f>
        <v/>
      </c>
      <c r="C37" s="19">
        <f>IF(COUNT('Эксперт 1'!C39,'Эксперт 2'!C39,'Эксперт 3'!C39,'Эксперт 4'!C39)&lt;4,"",PRODUCT('Эксперт 1'!C39,'Эксперт 2'!C39,'Эксперт 3'!C39,'Эксперт 4'!C39)^(1/4))</f>
        <v>1</v>
      </c>
      <c r="D37" s="19" t="str">
        <f>IF(COUNT('Эксперт 1'!D39,'Эксперт 2'!D39,'Эксперт 3'!D39,'Эксперт 4'!D39)&lt;4,"",PRODUCT('Эксперт 1'!D39,'Эксперт 2'!D39,'Эксперт 3'!D39,'Эксперт 4'!D39)^(1/4))</f>
        <v/>
      </c>
      <c r="E37" s="19" t="str">
        <f>IF(COUNT('Эксперт 1'!E39,'Эксперт 2'!E39,'Эксперт 3'!E39,'Эксперт 4'!E39)&lt;4,"",PRODUCT('Эксперт 1'!E39,'Эксперт 2'!E39,'Эксперт 3'!E39,'Эксперт 4'!E39)^(1/4))</f>
        <v/>
      </c>
      <c r="F37" s="19" t="str">
        <f t="shared" si="15"/>
        <v/>
      </c>
      <c r="G37" s="19" t="str">
        <f t="shared" si="16"/>
        <v/>
      </c>
      <c r="H37" s="20"/>
      <c r="I37" s="20"/>
      <c r="J37" s="20" t="str">
        <f t="shared" si="17"/>
        <v/>
      </c>
      <c r="K37" s="20" t="str">
        <f t="shared" ref="K37:AX37" si="18">IF(J37="","",($B37*J$36+$C37*J$37+$D37*J$38+$E37*J$39)/SUM(J$36:J$39))</f>
        <v/>
      </c>
      <c r="L37" s="20" t="str">
        <f t="shared" si="18"/>
        <v/>
      </c>
      <c r="M37" s="20" t="str">
        <f t="shared" si="18"/>
        <v/>
      </c>
      <c r="N37" s="20" t="str">
        <f t="shared" si="18"/>
        <v/>
      </c>
      <c r="O37" s="20" t="str">
        <f t="shared" si="18"/>
        <v/>
      </c>
      <c r="P37" s="20" t="str">
        <f t="shared" si="18"/>
        <v/>
      </c>
      <c r="Q37" s="20" t="str">
        <f t="shared" si="18"/>
        <v/>
      </c>
      <c r="R37" s="20" t="str">
        <f t="shared" si="18"/>
        <v/>
      </c>
      <c r="S37" s="20" t="str">
        <f t="shared" si="18"/>
        <v/>
      </c>
      <c r="T37" s="20" t="str">
        <f t="shared" si="18"/>
        <v/>
      </c>
      <c r="U37" s="20" t="str">
        <f t="shared" si="18"/>
        <v/>
      </c>
      <c r="V37" s="20" t="str">
        <f t="shared" si="18"/>
        <v/>
      </c>
      <c r="W37" s="20" t="str">
        <f t="shared" si="18"/>
        <v/>
      </c>
      <c r="X37" s="20" t="str">
        <f t="shared" si="18"/>
        <v/>
      </c>
      <c r="Y37" s="20" t="str">
        <f t="shared" si="18"/>
        <v/>
      </c>
      <c r="Z37" s="20" t="str">
        <f t="shared" si="18"/>
        <v/>
      </c>
      <c r="AA37" s="20" t="str">
        <f t="shared" si="18"/>
        <v/>
      </c>
      <c r="AB37" s="20" t="str">
        <f t="shared" si="18"/>
        <v/>
      </c>
      <c r="AC37" s="20" t="str">
        <f t="shared" si="18"/>
        <v/>
      </c>
      <c r="AD37" s="20" t="str">
        <f t="shared" si="18"/>
        <v/>
      </c>
      <c r="AE37" s="20" t="str">
        <f t="shared" si="18"/>
        <v/>
      </c>
      <c r="AF37" s="20" t="str">
        <f t="shared" si="18"/>
        <v/>
      </c>
      <c r="AG37" s="20" t="str">
        <f t="shared" si="18"/>
        <v/>
      </c>
      <c r="AH37" s="20" t="str">
        <f t="shared" si="18"/>
        <v/>
      </c>
      <c r="AI37" s="20" t="str">
        <f t="shared" si="18"/>
        <v/>
      </c>
      <c r="AJ37" s="20" t="str">
        <f t="shared" si="18"/>
        <v/>
      </c>
      <c r="AK37" s="20" t="str">
        <f t="shared" si="18"/>
        <v/>
      </c>
      <c r="AL37" s="20" t="str">
        <f t="shared" si="18"/>
        <v/>
      </c>
      <c r="AM37" s="20" t="str">
        <f t="shared" si="18"/>
        <v/>
      </c>
      <c r="AN37" s="20" t="str">
        <f t="shared" si="18"/>
        <v/>
      </c>
      <c r="AO37" s="20" t="str">
        <f t="shared" si="18"/>
        <v/>
      </c>
      <c r="AP37" s="20" t="str">
        <f t="shared" si="18"/>
        <v/>
      </c>
      <c r="AQ37" s="20" t="str">
        <f t="shared" si="18"/>
        <v/>
      </c>
      <c r="AR37" s="20" t="str">
        <f t="shared" si="18"/>
        <v/>
      </c>
      <c r="AS37" s="20" t="str">
        <f t="shared" si="18"/>
        <v/>
      </c>
      <c r="AT37" s="20" t="str">
        <f t="shared" si="18"/>
        <v/>
      </c>
      <c r="AU37" s="20" t="str">
        <f t="shared" si="18"/>
        <v/>
      </c>
      <c r="AV37" s="20" t="str">
        <f t="shared" si="18"/>
        <v/>
      </c>
      <c r="AW37" s="20" t="str">
        <f t="shared" si="18"/>
        <v/>
      </c>
      <c r="AX37" s="20" t="str">
        <f t="shared" si="18"/>
        <v/>
      </c>
    </row>
    <row r="38" ht="39.75" customHeight="1">
      <c r="A38" s="13" t="str">
        <f>'Настройки'!B16</f>
        <v>Концепция 3</v>
      </c>
      <c r="B38" s="19" t="str">
        <f>IF(COUNT('Эксперт 1'!B40,'Эксперт 2'!B40,'Эксперт 3'!B40,'Эксперт 4'!B40)&lt;4,"",PRODUCT('Эксперт 1'!B40,'Эксперт 2'!B40,'Эксперт 3'!B40,'Эксперт 4'!B40)^(1/4))</f>
        <v/>
      </c>
      <c r="C38" s="19" t="str">
        <f>IF(COUNT('Эксперт 1'!C40,'Эксперт 2'!C40,'Эксперт 3'!C40,'Эксперт 4'!C40)&lt;4,"",PRODUCT('Эксперт 1'!C40,'Эксперт 2'!C40,'Эксперт 3'!C40,'Эксперт 4'!C40)^(1/4))</f>
        <v/>
      </c>
      <c r="D38" s="19">
        <f>IF(COUNT('Эксперт 1'!D40,'Эксперт 2'!D40,'Эксперт 3'!D40,'Эксперт 4'!D40)&lt;4,"",PRODUCT('Эксперт 1'!D40,'Эксперт 2'!D40,'Эксперт 3'!D40,'Эксперт 4'!D40)^(1/4))</f>
        <v>1</v>
      </c>
      <c r="E38" s="19" t="str">
        <f>IF(COUNT('Эксперт 1'!E40,'Эксперт 2'!E40,'Эксперт 3'!E40,'Эксперт 4'!E40)&lt;4,"",PRODUCT('Эксперт 1'!E40,'Эксперт 2'!E40,'Эксперт 3'!E40,'Эксперт 4'!E40)^(1/4))</f>
        <v/>
      </c>
      <c r="F38" s="19" t="str">
        <f t="shared" si="15"/>
        <v/>
      </c>
      <c r="G38" s="19" t="str">
        <f t="shared" si="16"/>
        <v/>
      </c>
      <c r="H38" s="20"/>
      <c r="I38" s="20"/>
      <c r="J38" s="20" t="str">
        <f t="shared" si="17"/>
        <v/>
      </c>
      <c r="K38" s="20" t="str">
        <f t="shared" ref="K38:AX38" si="19">IF(J38="","",($B38*J$36+$C38*J$37+$D38*J$38+$E38*J$39)/SUM(J$36:J$39))</f>
        <v/>
      </c>
      <c r="L38" s="20" t="str">
        <f t="shared" si="19"/>
        <v/>
      </c>
      <c r="M38" s="20" t="str">
        <f t="shared" si="19"/>
        <v/>
      </c>
      <c r="N38" s="20" t="str">
        <f t="shared" si="19"/>
        <v/>
      </c>
      <c r="O38" s="20" t="str">
        <f t="shared" si="19"/>
        <v/>
      </c>
      <c r="P38" s="20" t="str">
        <f t="shared" si="19"/>
        <v/>
      </c>
      <c r="Q38" s="20" t="str">
        <f t="shared" si="19"/>
        <v/>
      </c>
      <c r="R38" s="20" t="str">
        <f t="shared" si="19"/>
        <v/>
      </c>
      <c r="S38" s="20" t="str">
        <f t="shared" si="19"/>
        <v/>
      </c>
      <c r="T38" s="20" t="str">
        <f t="shared" si="19"/>
        <v/>
      </c>
      <c r="U38" s="20" t="str">
        <f t="shared" si="19"/>
        <v/>
      </c>
      <c r="V38" s="20" t="str">
        <f t="shared" si="19"/>
        <v/>
      </c>
      <c r="W38" s="20" t="str">
        <f t="shared" si="19"/>
        <v/>
      </c>
      <c r="X38" s="20" t="str">
        <f t="shared" si="19"/>
        <v/>
      </c>
      <c r="Y38" s="20" t="str">
        <f t="shared" si="19"/>
        <v/>
      </c>
      <c r="Z38" s="20" t="str">
        <f t="shared" si="19"/>
        <v/>
      </c>
      <c r="AA38" s="20" t="str">
        <f t="shared" si="19"/>
        <v/>
      </c>
      <c r="AB38" s="20" t="str">
        <f t="shared" si="19"/>
        <v/>
      </c>
      <c r="AC38" s="20" t="str">
        <f t="shared" si="19"/>
        <v/>
      </c>
      <c r="AD38" s="20" t="str">
        <f t="shared" si="19"/>
        <v/>
      </c>
      <c r="AE38" s="20" t="str">
        <f t="shared" si="19"/>
        <v/>
      </c>
      <c r="AF38" s="20" t="str">
        <f t="shared" si="19"/>
        <v/>
      </c>
      <c r="AG38" s="20" t="str">
        <f t="shared" si="19"/>
        <v/>
      </c>
      <c r="AH38" s="20" t="str">
        <f t="shared" si="19"/>
        <v/>
      </c>
      <c r="AI38" s="20" t="str">
        <f t="shared" si="19"/>
        <v/>
      </c>
      <c r="AJ38" s="20" t="str">
        <f t="shared" si="19"/>
        <v/>
      </c>
      <c r="AK38" s="20" t="str">
        <f t="shared" si="19"/>
        <v/>
      </c>
      <c r="AL38" s="20" t="str">
        <f t="shared" si="19"/>
        <v/>
      </c>
      <c r="AM38" s="20" t="str">
        <f t="shared" si="19"/>
        <v/>
      </c>
      <c r="AN38" s="20" t="str">
        <f t="shared" si="19"/>
        <v/>
      </c>
      <c r="AO38" s="20" t="str">
        <f t="shared" si="19"/>
        <v/>
      </c>
      <c r="AP38" s="20" t="str">
        <f t="shared" si="19"/>
        <v/>
      </c>
      <c r="AQ38" s="20" t="str">
        <f t="shared" si="19"/>
        <v/>
      </c>
      <c r="AR38" s="20" t="str">
        <f t="shared" si="19"/>
        <v/>
      </c>
      <c r="AS38" s="20" t="str">
        <f t="shared" si="19"/>
        <v/>
      </c>
      <c r="AT38" s="20" t="str">
        <f t="shared" si="19"/>
        <v/>
      </c>
      <c r="AU38" s="20" t="str">
        <f t="shared" si="19"/>
        <v/>
      </c>
      <c r="AV38" s="20" t="str">
        <f t="shared" si="19"/>
        <v/>
      </c>
      <c r="AW38" s="20" t="str">
        <f t="shared" si="19"/>
        <v/>
      </c>
      <c r="AX38" s="20" t="str">
        <f t="shared" si="19"/>
        <v/>
      </c>
    </row>
    <row r="39" ht="39.75" customHeight="1">
      <c r="A39" s="13" t="str">
        <f>'Настройки'!B17</f>
        <v>Концепция 4</v>
      </c>
      <c r="B39" s="19" t="str">
        <f>IF(COUNT('Эксперт 1'!B41,'Эксперт 2'!B41,'Эксперт 3'!B41,'Эксперт 4'!B41)&lt;4,"",PRODUCT('Эксперт 1'!B41,'Эксперт 2'!B41,'Эксперт 3'!B41,'Эксперт 4'!B41)^(1/4))</f>
        <v/>
      </c>
      <c r="C39" s="19" t="str">
        <f>IF(COUNT('Эксперт 1'!C41,'Эксперт 2'!C41,'Эксперт 3'!C41,'Эксперт 4'!C41)&lt;4,"",PRODUCT('Эксперт 1'!C41,'Эксперт 2'!C41,'Эксперт 3'!C41,'Эксперт 4'!C41)^(1/4))</f>
        <v/>
      </c>
      <c r="D39" s="19" t="str">
        <f>IF(COUNT('Эксперт 1'!D41,'Эксперт 2'!D41,'Эксперт 3'!D41,'Эксперт 4'!D41)&lt;4,"",PRODUCT('Эксперт 1'!D41,'Эксперт 2'!D41,'Эксперт 3'!D41,'Эксперт 4'!D41)^(1/4))</f>
        <v/>
      </c>
      <c r="E39" s="19">
        <f>IF(COUNT('Эксперт 1'!E41,'Эксперт 2'!E41,'Эксперт 3'!E41,'Эксперт 4'!E41)&lt;4,"",PRODUCT('Эксперт 1'!E41,'Эксперт 2'!E41,'Эксперт 3'!E41,'Эксперт 4'!E41)^(1/4))</f>
        <v>1</v>
      </c>
      <c r="F39" s="19" t="str">
        <f t="shared" si="15"/>
        <v/>
      </c>
      <c r="G39" s="19" t="str">
        <f t="shared" si="16"/>
        <v/>
      </c>
      <c r="H39" s="20"/>
      <c r="I39" s="20"/>
      <c r="J39" s="20" t="str">
        <f t="shared" si="17"/>
        <v/>
      </c>
      <c r="K39" s="20" t="str">
        <f t="shared" ref="K39:AX39" si="20">IF(J39="","",($B39*J$36+$C39*J$37+$D39*J$38+$E39*J$39)/SUM(J$36:J$39))</f>
        <v/>
      </c>
      <c r="L39" s="20" t="str">
        <f t="shared" si="20"/>
        <v/>
      </c>
      <c r="M39" s="20" t="str">
        <f t="shared" si="20"/>
        <v/>
      </c>
      <c r="N39" s="20" t="str">
        <f t="shared" si="20"/>
        <v/>
      </c>
      <c r="O39" s="20" t="str">
        <f t="shared" si="20"/>
        <v/>
      </c>
      <c r="P39" s="20" t="str">
        <f t="shared" si="20"/>
        <v/>
      </c>
      <c r="Q39" s="20" t="str">
        <f t="shared" si="20"/>
        <v/>
      </c>
      <c r="R39" s="20" t="str">
        <f t="shared" si="20"/>
        <v/>
      </c>
      <c r="S39" s="20" t="str">
        <f t="shared" si="20"/>
        <v/>
      </c>
      <c r="T39" s="20" t="str">
        <f t="shared" si="20"/>
        <v/>
      </c>
      <c r="U39" s="20" t="str">
        <f t="shared" si="20"/>
        <v/>
      </c>
      <c r="V39" s="20" t="str">
        <f t="shared" si="20"/>
        <v/>
      </c>
      <c r="W39" s="20" t="str">
        <f t="shared" si="20"/>
        <v/>
      </c>
      <c r="X39" s="20" t="str">
        <f t="shared" si="20"/>
        <v/>
      </c>
      <c r="Y39" s="20" t="str">
        <f t="shared" si="20"/>
        <v/>
      </c>
      <c r="Z39" s="20" t="str">
        <f t="shared" si="20"/>
        <v/>
      </c>
      <c r="AA39" s="20" t="str">
        <f t="shared" si="20"/>
        <v/>
      </c>
      <c r="AB39" s="20" t="str">
        <f t="shared" si="20"/>
        <v/>
      </c>
      <c r="AC39" s="20" t="str">
        <f t="shared" si="20"/>
        <v/>
      </c>
      <c r="AD39" s="20" t="str">
        <f t="shared" si="20"/>
        <v/>
      </c>
      <c r="AE39" s="20" t="str">
        <f t="shared" si="20"/>
        <v/>
      </c>
      <c r="AF39" s="20" t="str">
        <f t="shared" si="20"/>
        <v/>
      </c>
      <c r="AG39" s="20" t="str">
        <f t="shared" si="20"/>
        <v/>
      </c>
      <c r="AH39" s="20" t="str">
        <f t="shared" si="20"/>
        <v/>
      </c>
      <c r="AI39" s="20" t="str">
        <f t="shared" si="20"/>
        <v/>
      </c>
      <c r="AJ39" s="20" t="str">
        <f t="shared" si="20"/>
        <v/>
      </c>
      <c r="AK39" s="20" t="str">
        <f t="shared" si="20"/>
        <v/>
      </c>
      <c r="AL39" s="20" t="str">
        <f t="shared" si="20"/>
        <v/>
      </c>
      <c r="AM39" s="20" t="str">
        <f t="shared" si="20"/>
        <v/>
      </c>
      <c r="AN39" s="20" t="str">
        <f t="shared" si="20"/>
        <v/>
      </c>
      <c r="AO39" s="20" t="str">
        <f t="shared" si="20"/>
        <v/>
      </c>
      <c r="AP39" s="20" t="str">
        <f t="shared" si="20"/>
        <v/>
      </c>
      <c r="AQ39" s="20" t="str">
        <f t="shared" si="20"/>
        <v/>
      </c>
      <c r="AR39" s="20" t="str">
        <f t="shared" si="20"/>
        <v/>
      </c>
      <c r="AS39" s="20" t="str">
        <f t="shared" si="20"/>
        <v/>
      </c>
      <c r="AT39" s="20" t="str">
        <f t="shared" si="20"/>
        <v/>
      </c>
      <c r="AU39" s="20" t="str">
        <f t="shared" si="20"/>
        <v/>
      </c>
      <c r="AV39" s="20" t="str">
        <f t="shared" si="20"/>
        <v/>
      </c>
      <c r="AW39" s="20" t="str">
        <f t="shared" si="20"/>
        <v/>
      </c>
      <c r="AX39" s="20" t="str">
        <f t="shared" si="20"/>
        <v/>
      </c>
    </row>
    <row r="40" ht="22.5" customHeight="1">
      <c r="A40" s="1"/>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row>
    <row r="41" ht="22.5" customHeight="1">
      <c r="A41" s="1" t="s">
        <v>281</v>
      </c>
      <c r="B41" s="20" t="s">
        <v>282</v>
      </c>
      <c r="C41" s="20" t="s">
        <v>283</v>
      </c>
      <c r="D41" s="20" t="s">
        <v>284</v>
      </c>
      <c r="E41" s="20" t="s">
        <v>285</v>
      </c>
      <c r="F41" s="20" t="s">
        <v>286</v>
      </c>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row>
    <row r="42" ht="22.5" customHeight="1">
      <c r="A42" s="1"/>
      <c r="B42" s="20" t="str">
        <f>IF(COUNT(C42)=0,"",C42/'Настройки'!$B$32)</f>
        <v/>
      </c>
      <c r="C42" s="20" t="str">
        <f>IF(D42="","",MAX(0,(D42-4)/3))</f>
        <v/>
      </c>
      <c r="D42" s="20" t="str">
        <f>IF(COUNT(G36:G39)&lt;4,"",AVERAGE(G36:G39))</f>
        <v/>
      </c>
      <c r="E42" s="20" t="str">
        <f>IF(D42="","",SUM(F36:F39))</f>
        <v/>
      </c>
      <c r="F42" s="20" t="str">
        <f>IF(D42="","",MAX(ABS((G36-$D$42)*F36),ABS((G37-$D$42)*F37),ABS((G38-$D$42)*F38),ABS((G39-$D$42)*F39)))</f>
        <v/>
      </c>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row>
    <row r="43" ht="22.5" customHeight="1">
      <c r="A43" s="1"/>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row>
    <row r="44" ht="22.5" customHeight="1">
      <c r="A44" s="1" t="str">
        <f>IF(COUNT(B42)=0,"Нет оценок",IF(F42&gt;0.00000001,"Недостаточная сходимость",IF(B42&lt;='Настройки'!$B$31,"Согласовано","Пересмотреть сравнения")))</f>
        <v>Нет оценок</v>
      </c>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row>
    <row r="45" ht="22.5" customHeight="1">
      <c r="A45" s="1"/>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row>
    <row r="46" ht="22.5" customHeight="1">
      <c r="A46" s="1"/>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row>
    <row r="47" ht="22.5" customHeight="1">
      <c r="A47" s="1"/>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row>
    <row r="48" ht="22.5" customHeight="1">
      <c r="A48" s="1" t="s">
        <v>295</v>
      </c>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row>
    <row r="49" ht="54.0" customHeight="1">
      <c r="A49" s="3" t="s">
        <v>279</v>
      </c>
      <c r="B49" s="21" t="str">
        <f>'Настройки'!B14</f>
        <v>Детейлинг-центр</v>
      </c>
      <c r="C49" s="21" t="str">
        <f>'Настройки'!B15</f>
        <v>Планировщик покупок</v>
      </c>
      <c r="D49" s="21" t="str">
        <f>'Настройки'!B16</f>
        <v>Концепция 3</v>
      </c>
      <c r="E49" s="21" t="str">
        <f>'Настройки'!B17</f>
        <v>Концепция 4</v>
      </c>
      <c r="F49" s="21" t="s">
        <v>274</v>
      </c>
      <c r="G49" s="21" t="s">
        <v>280</v>
      </c>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row>
    <row r="50" ht="39.75" customHeight="1">
      <c r="A50" s="13" t="str">
        <f>'Настройки'!B14</f>
        <v>Детейлинг-центр</v>
      </c>
      <c r="B50" s="19">
        <f>IF(COUNT('Эксперт 1'!B50,'Эксперт 2'!B50,'Эксперт 3'!B50,'Эксперт 4'!B50)&lt;4,"",PRODUCT('Эксперт 1'!B50,'Эксперт 2'!B50,'Эксперт 3'!B50,'Эксперт 4'!B50)^(1/4))</f>
        <v>1</v>
      </c>
      <c r="C50" s="19" t="str">
        <f>IF(COUNT('Эксперт 1'!C50,'Эксперт 2'!C50,'Эксперт 3'!C50,'Эксперт 4'!C50)&lt;4,"",PRODUCT('Эксперт 1'!C50,'Эксперт 2'!C50,'Эксперт 3'!C50,'Эксперт 4'!C50)^(1/4))</f>
        <v/>
      </c>
      <c r="D50" s="19" t="str">
        <f>IF(COUNT('Эксперт 1'!D50,'Эксперт 2'!D50,'Эксперт 3'!D50,'Эксперт 4'!D50)&lt;4,"",PRODUCT('Эксперт 1'!D50,'Эксперт 2'!D50,'Эксперт 3'!D50,'Эксперт 4'!D50)^(1/4))</f>
        <v/>
      </c>
      <c r="E50" s="19" t="str">
        <f>IF(COUNT('Эксперт 1'!E50,'Эксперт 2'!E50,'Эксперт 3'!E50,'Эксперт 4'!E50)&lt;4,"",PRODUCT('Эксперт 1'!E50,'Эксперт 2'!E50,'Эксперт 3'!E50,'Эксперт 4'!E50)^(1/4))</f>
        <v/>
      </c>
      <c r="F50" s="19" t="str">
        <f t="shared" ref="F50:F53" si="22">IF(AX50="","",AX50/SUM(AX$50:AX$53))</f>
        <v/>
      </c>
      <c r="G50" s="19" t="str">
        <f t="shared" ref="G50:G53" si="23">IF(F50="","",(B50*$F$50+C50*$F$51+D50*$F$52+E50*$F$53)/F50)</f>
        <v/>
      </c>
      <c r="H50" s="20"/>
      <c r="I50" s="20"/>
      <c r="J50" s="20" t="str">
        <f t="shared" ref="J50:J53" si="24">IF(COUNT($B$50:$E$53)&lt;16,"",1/4)</f>
        <v/>
      </c>
      <c r="K50" s="20" t="str">
        <f t="shared" ref="K50:AX50" si="21">IF(J50="","",($B50*J$50+$C50*J$51+$D50*J$52+$E50*J$53)/SUM(J$50:J$53))</f>
        <v/>
      </c>
      <c r="L50" s="20" t="str">
        <f t="shared" si="21"/>
        <v/>
      </c>
      <c r="M50" s="20" t="str">
        <f t="shared" si="21"/>
        <v/>
      </c>
      <c r="N50" s="20" t="str">
        <f t="shared" si="21"/>
        <v/>
      </c>
      <c r="O50" s="20" t="str">
        <f t="shared" si="21"/>
        <v/>
      </c>
      <c r="P50" s="20" t="str">
        <f t="shared" si="21"/>
        <v/>
      </c>
      <c r="Q50" s="20" t="str">
        <f t="shared" si="21"/>
        <v/>
      </c>
      <c r="R50" s="20" t="str">
        <f t="shared" si="21"/>
        <v/>
      </c>
      <c r="S50" s="20" t="str">
        <f t="shared" si="21"/>
        <v/>
      </c>
      <c r="T50" s="20" t="str">
        <f t="shared" si="21"/>
        <v/>
      </c>
      <c r="U50" s="20" t="str">
        <f t="shared" si="21"/>
        <v/>
      </c>
      <c r="V50" s="20" t="str">
        <f t="shared" si="21"/>
        <v/>
      </c>
      <c r="W50" s="20" t="str">
        <f t="shared" si="21"/>
        <v/>
      </c>
      <c r="X50" s="20" t="str">
        <f t="shared" si="21"/>
        <v/>
      </c>
      <c r="Y50" s="20" t="str">
        <f t="shared" si="21"/>
        <v/>
      </c>
      <c r="Z50" s="20" t="str">
        <f t="shared" si="21"/>
        <v/>
      </c>
      <c r="AA50" s="20" t="str">
        <f t="shared" si="21"/>
        <v/>
      </c>
      <c r="AB50" s="20" t="str">
        <f t="shared" si="21"/>
        <v/>
      </c>
      <c r="AC50" s="20" t="str">
        <f t="shared" si="21"/>
        <v/>
      </c>
      <c r="AD50" s="20" t="str">
        <f t="shared" si="21"/>
        <v/>
      </c>
      <c r="AE50" s="20" t="str">
        <f t="shared" si="21"/>
        <v/>
      </c>
      <c r="AF50" s="20" t="str">
        <f t="shared" si="21"/>
        <v/>
      </c>
      <c r="AG50" s="20" t="str">
        <f t="shared" si="21"/>
        <v/>
      </c>
      <c r="AH50" s="20" t="str">
        <f t="shared" si="21"/>
        <v/>
      </c>
      <c r="AI50" s="20" t="str">
        <f t="shared" si="21"/>
        <v/>
      </c>
      <c r="AJ50" s="20" t="str">
        <f t="shared" si="21"/>
        <v/>
      </c>
      <c r="AK50" s="20" t="str">
        <f t="shared" si="21"/>
        <v/>
      </c>
      <c r="AL50" s="20" t="str">
        <f t="shared" si="21"/>
        <v/>
      </c>
      <c r="AM50" s="20" t="str">
        <f t="shared" si="21"/>
        <v/>
      </c>
      <c r="AN50" s="20" t="str">
        <f t="shared" si="21"/>
        <v/>
      </c>
      <c r="AO50" s="20" t="str">
        <f t="shared" si="21"/>
        <v/>
      </c>
      <c r="AP50" s="20" t="str">
        <f t="shared" si="21"/>
        <v/>
      </c>
      <c r="AQ50" s="20" t="str">
        <f t="shared" si="21"/>
        <v/>
      </c>
      <c r="AR50" s="20" t="str">
        <f t="shared" si="21"/>
        <v/>
      </c>
      <c r="AS50" s="20" t="str">
        <f t="shared" si="21"/>
        <v/>
      </c>
      <c r="AT50" s="20" t="str">
        <f t="shared" si="21"/>
        <v/>
      </c>
      <c r="AU50" s="20" t="str">
        <f t="shared" si="21"/>
        <v/>
      </c>
      <c r="AV50" s="20" t="str">
        <f t="shared" si="21"/>
        <v/>
      </c>
      <c r="AW50" s="20" t="str">
        <f t="shared" si="21"/>
        <v/>
      </c>
      <c r="AX50" s="20" t="str">
        <f t="shared" si="21"/>
        <v/>
      </c>
    </row>
    <row r="51" ht="39.75" customHeight="1">
      <c r="A51" s="13" t="str">
        <f>'Настройки'!B15</f>
        <v>Планировщик покупок</v>
      </c>
      <c r="B51" s="19" t="str">
        <f>IF(COUNT('Эксперт 1'!B51,'Эксперт 2'!B51,'Эксперт 3'!B51,'Эксперт 4'!B51)&lt;4,"",PRODUCT('Эксперт 1'!B51,'Эксперт 2'!B51,'Эксперт 3'!B51,'Эксперт 4'!B51)^(1/4))</f>
        <v/>
      </c>
      <c r="C51" s="19">
        <f>IF(COUNT('Эксперт 1'!C51,'Эксперт 2'!C51,'Эксперт 3'!C51,'Эксперт 4'!C51)&lt;4,"",PRODUCT('Эксперт 1'!C51,'Эксперт 2'!C51,'Эксперт 3'!C51,'Эксперт 4'!C51)^(1/4))</f>
        <v>1</v>
      </c>
      <c r="D51" s="19" t="str">
        <f>IF(COUNT('Эксперт 1'!D51,'Эксперт 2'!D51,'Эксперт 3'!D51,'Эксперт 4'!D51)&lt;4,"",PRODUCT('Эксперт 1'!D51,'Эксперт 2'!D51,'Эксперт 3'!D51,'Эксперт 4'!D51)^(1/4))</f>
        <v/>
      </c>
      <c r="E51" s="19" t="str">
        <f>IF(COUNT('Эксперт 1'!E51,'Эксперт 2'!E51,'Эксперт 3'!E51,'Эксперт 4'!E51)&lt;4,"",PRODUCT('Эксперт 1'!E51,'Эксперт 2'!E51,'Эксперт 3'!E51,'Эксперт 4'!E51)^(1/4))</f>
        <v/>
      </c>
      <c r="F51" s="19" t="str">
        <f t="shared" si="22"/>
        <v/>
      </c>
      <c r="G51" s="19" t="str">
        <f t="shared" si="23"/>
        <v/>
      </c>
      <c r="H51" s="20"/>
      <c r="I51" s="20"/>
      <c r="J51" s="20" t="str">
        <f t="shared" si="24"/>
        <v/>
      </c>
      <c r="K51" s="20" t="str">
        <f t="shared" ref="K51:AX51" si="25">IF(J51="","",($B51*J$50+$C51*J$51+$D51*J$52+$E51*J$53)/SUM(J$50:J$53))</f>
        <v/>
      </c>
      <c r="L51" s="20" t="str">
        <f t="shared" si="25"/>
        <v/>
      </c>
      <c r="M51" s="20" t="str">
        <f t="shared" si="25"/>
        <v/>
      </c>
      <c r="N51" s="20" t="str">
        <f t="shared" si="25"/>
        <v/>
      </c>
      <c r="O51" s="20" t="str">
        <f t="shared" si="25"/>
        <v/>
      </c>
      <c r="P51" s="20" t="str">
        <f t="shared" si="25"/>
        <v/>
      </c>
      <c r="Q51" s="20" t="str">
        <f t="shared" si="25"/>
        <v/>
      </c>
      <c r="R51" s="20" t="str">
        <f t="shared" si="25"/>
        <v/>
      </c>
      <c r="S51" s="20" t="str">
        <f t="shared" si="25"/>
        <v/>
      </c>
      <c r="T51" s="20" t="str">
        <f t="shared" si="25"/>
        <v/>
      </c>
      <c r="U51" s="20" t="str">
        <f t="shared" si="25"/>
        <v/>
      </c>
      <c r="V51" s="20" t="str">
        <f t="shared" si="25"/>
        <v/>
      </c>
      <c r="W51" s="20" t="str">
        <f t="shared" si="25"/>
        <v/>
      </c>
      <c r="X51" s="20" t="str">
        <f t="shared" si="25"/>
        <v/>
      </c>
      <c r="Y51" s="20" t="str">
        <f t="shared" si="25"/>
        <v/>
      </c>
      <c r="Z51" s="20" t="str">
        <f t="shared" si="25"/>
        <v/>
      </c>
      <c r="AA51" s="20" t="str">
        <f t="shared" si="25"/>
        <v/>
      </c>
      <c r="AB51" s="20" t="str">
        <f t="shared" si="25"/>
        <v/>
      </c>
      <c r="AC51" s="20" t="str">
        <f t="shared" si="25"/>
        <v/>
      </c>
      <c r="AD51" s="20" t="str">
        <f t="shared" si="25"/>
        <v/>
      </c>
      <c r="AE51" s="20" t="str">
        <f t="shared" si="25"/>
        <v/>
      </c>
      <c r="AF51" s="20" t="str">
        <f t="shared" si="25"/>
        <v/>
      </c>
      <c r="AG51" s="20" t="str">
        <f t="shared" si="25"/>
        <v/>
      </c>
      <c r="AH51" s="20" t="str">
        <f t="shared" si="25"/>
        <v/>
      </c>
      <c r="AI51" s="20" t="str">
        <f t="shared" si="25"/>
        <v/>
      </c>
      <c r="AJ51" s="20" t="str">
        <f t="shared" si="25"/>
        <v/>
      </c>
      <c r="AK51" s="20" t="str">
        <f t="shared" si="25"/>
        <v/>
      </c>
      <c r="AL51" s="20" t="str">
        <f t="shared" si="25"/>
        <v/>
      </c>
      <c r="AM51" s="20" t="str">
        <f t="shared" si="25"/>
        <v/>
      </c>
      <c r="AN51" s="20" t="str">
        <f t="shared" si="25"/>
        <v/>
      </c>
      <c r="AO51" s="20" t="str">
        <f t="shared" si="25"/>
        <v/>
      </c>
      <c r="AP51" s="20" t="str">
        <f t="shared" si="25"/>
        <v/>
      </c>
      <c r="AQ51" s="20" t="str">
        <f t="shared" si="25"/>
        <v/>
      </c>
      <c r="AR51" s="20" t="str">
        <f t="shared" si="25"/>
        <v/>
      </c>
      <c r="AS51" s="20" t="str">
        <f t="shared" si="25"/>
        <v/>
      </c>
      <c r="AT51" s="20" t="str">
        <f t="shared" si="25"/>
        <v/>
      </c>
      <c r="AU51" s="20" t="str">
        <f t="shared" si="25"/>
        <v/>
      </c>
      <c r="AV51" s="20" t="str">
        <f t="shared" si="25"/>
        <v/>
      </c>
      <c r="AW51" s="20" t="str">
        <f t="shared" si="25"/>
        <v/>
      </c>
      <c r="AX51" s="20" t="str">
        <f t="shared" si="25"/>
        <v/>
      </c>
    </row>
    <row r="52" ht="39.75" customHeight="1">
      <c r="A52" s="13" t="str">
        <f>'Настройки'!B16</f>
        <v>Концепция 3</v>
      </c>
      <c r="B52" s="19" t="str">
        <f>IF(COUNT('Эксперт 1'!B52,'Эксперт 2'!B52,'Эксперт 3'!B52,'Эксперт 4'!B52)&lt;4,"",PRODUCT('Эксперт 1'!B52,'Эксперт 2'!B52,'Эксперт 3'!B52,'Эксперт 4'!B52)^(1/4))</f>
        <v/>
      </c>
      <c r="C52" s="19" t="str">
        <f>IF(COUNT('Эксперт 1'!C52,'Эксперт 2'!C52,'Эксперт 3'!C52,'Эксперт 4'!C52)&lt;4,"",PRODUCT('Эксперт 1'!C52,'Эксперт 2'!C52,'Эксперт 3'!C52,'Эксперт 4'!C52)^(1/4))</f>
        <v/>
      </c>
      <c r="D52" s="19">
        <f>IF(COUNT('Эксперт 1'!D52,'Эксперт 2'!D52,'Эксперт 3'!D52,'Эксперт 4'!D52)&lt;4,"",PRODUCT('Эксперт 1'!D52,'Эксперт 2'!D52,'Эксперт 3'!D52,'Эксперт 4'!D52)^(1/4))</f>
        <v>1</v>
      </c>
      <c r="E52" s="19" t="str">
        <f>IF(COUNT('Эксперт 1'!E52,'Эксперт 2'!E52,'Эксперт 3'!E52,'Эксперт 4'!E52)&lt;4,"",PRODUCT('Эксперт 1'!E52,'Эксперт 2'!E52,'Эксперт 3'!E52,'Эксперт 4'!E52)^(1/4))</f>
        <v/>
      </c>
      <c r="F52" s="19" t="str">
        <f t="shared" si="22"/>
        <v/>
      </c>
      <c r="G52" s="19" t="str">
        <f t="shared" si="23"/>
        <v/>
      </c>
      <c r="H52" s="20"/>
      <c r="I52" s="20"/>
      <c r="J52" s="20" t="str">
        <f t="shared" si="24"/>
        <v/>
      </c>
      <c r="K52" s="20" t="str">
        <f t="shared" ref="K52:AX52" si="26">IF(J52="","",($B52*J$50+$C52*J$51+$D52*J$52+$E52*J$53)/SUM(J$50:J$53))</f>
        <v/>
      </c>
      <c r="L52" s="20" t="str">
        <f t="shared" si="26"/>
        <v/>
      </c>
      <c r="M52" s="20" t="str">
        <f t="shared" si="26"/>
        <v/>
      </c>
      <c r="N52" s="20" t="str">
        <f t="shared" si="26"/>
        <v/>
      </c>
      <c r="O52" s="20" t="str">
        <f t="shared" si="26"/>
        <v/>
      </c>
      <c r="P52" s="20" t="str">
        <f t="shared" si="26"/>
        <v/>
      </c>
      <c r="Q52" s="20" t="str">
        <f t="shared" si="26"/>
        <v/>
      </c>
      <c r="R52" s="20" t="str">
        <f t="shared" si="26"/>
        <v/>
      </c>
      <c r="S52" s="20" t="str">
        <f t="shared" si="26"/>
        <v/>
      </c>
      <c r="T52" s="20" t="str">
        <f t="shared" si="26"/>
        <v/>
      </c>
      <c r="U52" s="20" t="str">
        <f t="shared" si="26"/>
        <v/>
      </c>
      <c r="V52" s="20" t="str">
        <f t="shared" si="26"/>
        <v/>
      </c>
      <c r="W52" s="20" t="str">
        <f t="shared" si="26"/>
        <v/>
      </c>
      <c r="X52" s="20" t="str">
        <f t="shared" si="26"/>
        <v/>
      </c>
      <c r="Y52" s="20" t="str">
        <f t="shared" si="26"/>
        <v/>
      </c>
      <c r="Z52" s="20" t="str">
        <f t="shared" si="26"/>
        <v/>
      </c>
      <c r="AA52" s="20" t="str">
        <f t="shared" si="26"/>
        <v/>
      </c>
      <c r="AB52" s="20" t="str">
        <f t="shared" si="26"/>
        <v/>
      </c>
      <c r="AC52" s="20" t="str">
        <f t="shared" si="26"/>
        <v/>
      </c>
      <c r="AD52" s="20" t="str">
        <f t="shared" si="26"/>
        <v/>
      </c>
      <c r="AE52" s="20" t="str">
        <f t="shared" si="26"/>
        <v/>
      </c>
      <c r="AF52" s="20" t="str">
        <f t="shared" si="26"/>
        <v/>
      </c>
      <c r="AG52" s="20" t="str">
        <f t="shared" si="26"/>
        <v/>
      </c>
      <c r="AH52" s="20" t="str">
        <f t="shared" si="26"/>
        <v/>
      </c>
      <c r="AI52" s="20" t="str">
        <f t="shared" si="26"/>
        <v/>
      </c>
      <c r="AJ52" s="20" t="str">
        <f t="shared" si="26"/>
        <v/>
      </c>
      <c r="AK52" s="20" t="str">
        <f t="shared" si="26"/>
        <v/>
      </c>
      <c r="AL52" s="20" t="str">
        <f t="shared" si="26"/>
        <v/>
      </c>
      <c r="AM52" s="20" t="str">
        <f t="shared" si="26"/>
        <v/>
      </c>
      <c r="AN52" s="20" t="str">
        <f t="shared" si="26"/>
        <v/>
      </c>
      <c r="AO52" s="20" t="str">
        <f t="shared" si="26"/>
        <v/>
      </c>
      <c r="AP52" s="20" t="str">
        <f t="shared" si="26"/>
        <v/>
      </c>
      <c r="AQ52" s="20" t="str">
        <f t="shared" si="26"/>
        <v/>
      </c>
      <c r="AR52" s="20" t="str">
        <f t="shared" si="26"/>
        <v/>
      </c>
      <c r="AS52" s="20" t="str">
        <f t="shared" si="26"/>
        <v/>
      </c>
      <c r="AT52" s="20" t="str">
        <f t="shared" si="26"/>
        <v/>
      </c>
      <c r="AU52" s="20" t="str">
        <f t="shared" si="26"/>
        <v/>
      </c>
      <c r="AV52" s="20" t="str">
        <f t="shared" si="26"/>
        <v/>
      </c>
      <c r="AW52" s="20" t="str">
        <f t="shared" si="26"/>
        <v/>
      </c>
      <c r="AX52" s="20" t="str">
        <f t="shared" si="26"/>
        <v/>
      </c>
    </row>
    <row r="53" ht="39.75" customHeight="1">
      <c r="A53" s="13" t="str">
        <f>'Настройки'!B17</f>
        <v>Концепция 4</v>
      </c>
      <c r="B53" s="19" t="str">
        <f>IF(COUNT('Эксперт 1'!B53,'Эксперт 2'!B53,'Эксперт 3'!B53,'Эксперт 4'!B53)&lt;4,"",PRODUCT('Эксперт 1'!B53,'Эксперт 2'!B53,'Эксперт 3'!B53,'Эксперт 4'!B53)^(1/4))</f>
        <v/>
      </c>
      <c r="C53" s="19" t="str">
        <f>IF(COUNT('Эксперт 1'!C53,'Эксперт 2'!C53,'Эксперт 3'!C53,'Эксперт 4'!C53)&lt;4,"",PRODUCT('Эксперт 1'!C53,'Эксперт 2'!C53,'Эксперт 3'!C53,'Эксперт 4'!C53)^(1/4))</f>
        <v/>
      </c>
      <c r="D53" s="19" t="str">
        <f>IF(COUNT('Эксперт 1'!D53,'Эксперт 2'!D53,'Эксперт 3'!D53,'Эксперт 4'!D53)&lt;4,"",PRODUCT('Эксперт 1'!D53,'Эксперт 2'!D53,'Эксперт 3'!D53,'Эксперт 4'!D53)^(1/4))</f>
        <v/>
      </c>
      <c r="E53" s="19">
        <f>IF(COUNT('Эксперт 1'!E53,'Эксперт 2'!E53,'Эксперт 3'!E53,'Эксперт 4'!E53)&lt;4,"",PRODUCT('Эксперт 1'!E53,'Эксперт 2'!E53,'Эксперт 3'!E53,'Эксперт 4'!E53)^(1/4))</f>
        <v>1</v>
      </c>
      <c r="F53" s="19" t="str">
        <f t="shared" si="22"/>
        <v/>
      </c>
      <c r="G53" s="19" t="str">
        <f t="shared" si="23"/>
        <v/>
      </c>
      <c r="H53" s="20"/>
      <c r="I53" s="20"/>
      <c r="J53" s="20" t="str">
        <f t="shared" si="24"/>
        <v/>
      </c>
      <c r="K53" s="20" t="str">
        <f t="shared" ref="K53:AX53" si="27">IF(J53="","",($B53*J$50+$C53*J$51+$D53*J$52+$E53*J$53)/SUM(J$50:J$53))</f>
        <v/>
      </c>
      <c r="L53" s="20" t="str">
        <f t="shared" si="27"/>
        <v/>
      </c>
      <c r="M53" s="20" t="str">
        <f t="shared" si="27"/>
        <v/>
      </c>
      <c r="N53" s="20" t="str">
        <f t="shared" si="27"/>
        <v/>
      </c>
      <c r="O53" s="20" t="str">
        <f t="shared" si="27"/>
        <v/>
      </c>
      <c r="P53" s="20" t="str">
        <f t="shared" si="27"/>
        <v/>
      </c>
      <c r="Q53" s="20" t="str">
        <f t="shared" si="27"/>
        <v/>
      </c>
      <c r="R53" s="20" t="str">
        <f t="shared" si="27"/>
        <v/>
      </c>
      <c r="S53" s="20" t="str">
        <f t="shared" si="27"/>
        <v/>
      </c>
      <c r="T53" s="20" t="str">
        <f t="shared" si="27"/>
        <v/>
      </c>
      <c r="U53" s="20" t="str">
        <f t="shared" si="27"/>
        <v/>
      </c>
      <c r="V53" s="20" t="str">
        <f t="shared" si="27"/>
        <v/>
      </c>
      <c r="W53" s="20" t="str">
        <f t="shared" si="27"/>
        <v/>
      </c>
      <c r="X53" s="20" t="str">
        <f t="shared" si="27"/>
        <v/>
      </c>
      <c r="Y53" s="20" t="str">
        <f t="shared" si="27"/>
        <v/>
      </c>
      <c r="Z53" s="20" t="str">
        <f t="shared" si="27"/>
        <v/>
      </c>
      <c r="AA53" s="20" t="str">
        <f t="shared" si="27"/>
        <v/>
      </c>
      <c r="AB53" s="20" t="str">
        <f t="shared" si="27"/>
        <v/>
      </c>
      <c r="AC53" s="20" t="str">
        <f t="shared" si="27"/>
        <v/>
      </c>
      <c r="AD53" s="20" t="str">
        <f t="shared" si="27"/>
        <v/>
      </c>
      <c r="AE53" s="20" t="str">
        <f t="shared" si="27"/>
        <v/>
      </c>
      <c r="AF53" s="20" t="str">
        <f t="shared" si="27"/>
        <v/>
      </c>
      <c r="AG53" s="20" t="str">
        <f t="shared" si="27"/>
        <v/>
      </c>
      <c r="AH53" s="20" t="str">
        <f t="shared" si="27"/>
        <v/>
      </c>
      <c r="AI53" s="20" t="str">
        <f t="shared" si="27"/>
        <v/>
      </c>
      <c r="AJ53" s="20" t="str">
        <f t="shared" si="27"/>
        <v/>
      </c>
      <c r="AK53" s="20" t="str">
        <f t="shared" si="27"/>
        <v/>
      </c>
      <c r="AL53" s="20" t="str">
        <f t="shared" si="27"/>
        <v/>
      </c>
      <c r="AM53" s="20" t="str">
        <f t="shared" si="27"/>
        <v/>
      </c>
      <c r="AN53" s="20" t="str">
        <f t="shared" si="27"/>
        <v/>
      </c>
      <c r="AO53" s="20" t="str">
        <f t="shared" si="27"/>
        <v/>
      </c>
      <c r="AP53" s="20" t="str">
        <f t="shared" si="27"/>
        <v/>
      </c>
      <c r="AQ53" s="20" t="str">
        <f t="shared" si="27"/>
        <v/>
      </c>
      <c r="AR53" s="20" t="str">
        <f t="shared" si="27"/>
        <v/>
      </c>
      <c r="AS53" s="20" t="str">
        <f t="shared" si="27"/>
        <v/>
      </c>
      <c r="AT53" s="20" t="str">
        <f t="shared" si="27"/>
        <v/>
      </c>
      <c r="AU53" s="20" t="str">
        <f t="shared" si="27"/>
        <v/>
      </c>
      <c r="AV53" s="20" t="str">
        <f t="shared" si="27"/>
        <v/>
      </c>
      <c r="AW53" s="20" t="str">
        <f t="shared" si="27"/>
        <v/>
      </c>
      <c r="AX53" s="20" t="str">
        <f t="shared" si="27"/>
        <v/>
      </c>
    </row>
    <row r="54" ht="22.5" customHeight="1">
      <c r="A54" s="1"/>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row>
    <row r="55" ht="22.5" customHeight="1">
      <c r="A55" s="1" t="s">
        <v>281</v>
      </c>
      <c r="B55" s="20" t="s">
        <v>282</v>
      </c>
      <c r="C55" s="20" t="s">
        <v>283</v>
      </c>
      <c r="D55" s="20" t="s">
        <v>284</v>
      </c>
      <c r="E55" s="20" t="s">
        <v>285</v>
      </c>
      <c r="F55" s="20" t="s">
        <v>286</v>
      </c>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row>
    <row r="56" ht="22.5" customHeight="1">
      <c r="A56" s="1"/>
      <c r="B56" s="20" t="str">
        <f>IF(COUNT(C56)=0,"",C56/'Настройки'!$B$32)</f>
        <v/>
      </c>
      <c r="C56" s="20" t="str">
        <f>IF(D56="","",MAX(0,(D56-4)/3))</f>
        <v/>
      </c>
      <c r="D56" s="20" t="str">
        <f>IF(COUNT(G50:G53)&lt;4,"",AVERAGE(G50:G53))</f>
        <v/>
      </c>
      <c r="E56" s="20" t="str">
        <f>IF(D56="","",SUM(F50:F53))</f>
        <v/>
      </c>
      <c r="F56" s="20" t="str">
        <f>IF(D56="","",MAX(ABS((G50-$D$56)*F50),ABS((G51-$D$56)*F51),ABS((G52-$D$56)*F52),ABS((G53-$D$56)*F53)))</f>
        <v/>
      </c>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row>
    <row r="57" ht="22.5" customHeight="1">
      <c r="A57" s="1"/>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row>
    <row r="58" ht="22.5" customHeight="1">
      <c r="A58" s="1" t="str">
        <f>IF(COUNT(B56)=0,"Нет оценок",IF(F56&gt;0.00000001,"Недостаточная сходимость",IF(B56&lt;='Настройки'!$B$31,"Согласовано","Пересмотреть сравнения")))</f>
        <v>Нет оценок</v>
      </c>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row>
    <row r="59" ht="22.5" customHeight="1">
      <c r="A59" s="1"/>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row>
    <row r="60" ht="22.5" customHeight="1">
      <c r="A60" s="1"/>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row>
    <row r="61" ht="22.5" customHeight="1">
      <c r="A61" s="1"/>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row>
    <row r="62" ht="22.5" customHeight="1">
      <c r="A62" s="1" t="s">
        <v>296</v>
      </c>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row>
    <row r="63" ht="54.0" customHeight="1">
      <c r="A63" s="3" t="s">
        <v>279</v>
      </c>
      <c r="B63" s="21" t="str">
        <f>'Настройки'!B14</f>
        <v>Детейлинг-центр</v>
      </c>
      <c r="C63" s="21" t="str">
        <f>'Настройки'!B15</f>
        <v>Планировщик покупок</v>
      </c>
      <c r="D63" s="21" t="str">
        <f>'Настройки'!B16</f>
        <v>Концепция 3</v>
      </c>
      <c r="E63" s="21" t="str">
        <f>'Настройки'!B17</f>
        <v>Концепция 4</v>
      </c>
      <c r="F63" s="21" t="s">
        <v>274</v>
      </c>
      <c r="G63" s="21" t="s">
        <v>280</v>
      </c>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row>
    <row r="64" ht="39.75" customHeight="1">
      <c r="A64" s="13" t="str">
        <f>'Настройки'!B14</f>
        <v>Детейлинг-центр</v>
      </c>
      <c r="B64" s="19">
        <f>IF(COUNT('Эксперт 1'!B62,'Эксперт 2'!B62,'Эксперт 3'!B62,'Эксперт 4'!B62)&lt;4,"",PRODUCT('Эксперт 1'!B62,'Эксперт 2'!B62,'Эксперт 3'!B62,'Эксперт 4'!B62)^(1/4))</f>
        <v>1</v>
      </c>
      <c r="C64" s="19" t="str">
        <f>IF(COUNT('Эксперт 1'!C62,'Эксперт 2'!C62,'Эксперт 3'!C62,'Эксперт 4'!C62)&lt;4,"",PRODUCT('Эксперт 1'!C62,'Эксперт 2'!C62,'Эксперт 3'!C62,'Эксперт 4'!C62)^(1/4))</f>
        <v/>
      </c>
      <c r="D64" s="19" t="str">
        <f>IF(COUNT('Эксперт 1'!D62,'Эксперт 2'!D62,'Эксперт 3'!D62,'Эксперт 4'!D62)&lt;4,"",PRODUCT('Эксперт 1'!D62,'Эксперт 2'!D62,'Эксперт 3'!D62,'Эксперт 4'!D62)^(1/4))</f>
        <v/>
      </c>
      <c r="E64" s="19" t="str">
        <f>IF(COUNT('Эксперт 1'!E62,'Эксперт 2'!E62,'Эксперт 3'!E62,'Эксперт 4'!E62)&lt;4,"",PRODUCT('Эксперт 1'!E62,'Эксперт 2'!E62,'Эксперт 3'!E62,'Эксперт 4'!E62)^(1/4))</f>
        <v/>
      </c>
      <c r="F64" s="19" t="str">
        <f t="shared" ref="F64:F67" si="29">IF(AX64="","",AX64/SUM(AX$64:AX$67))</f>
        <v/>
      </c>
      <c r="G64" s="19" t="str">
        <f t="shared" ref="G64:G67" si="30">IF(F64="","",(B64*$F$64+C64*$F$65+D64*$F$66+E64*$F$67)/F64)</f>
        <v/>
      </c>
      <c r="H64" s="20"/>
      <c r="I64" s="20"/>
      <c r="J64" s="20" t="str">
        <f t="shared" ref="J64:J67" si="31">IF(COUNT($B$64:$E$67)&lt;16,"",1/4)</f>
        <v/>
      </c>
      <c r="K64" s="20" t="str">
        <f t="shared" ref="K64:AX64" si="28">IF(J64="","",($B64*J$64+$C64*J$65+$D64*J$66+$E64*J$67)/SUM(J$64:J$67))</f>
        <v/>
      </c>
      <c r="L64" s="20" t="str">
        <f t="shared" si="28"/>
        <v/>
      </c>
      <c r="M64" s="20" t="str">
        <f t="shared" si="28"/>
        <v/>
      </c>
      <c r="N64" s="20" t="str">
        <f t="shared" si="28"/>
        <v/>
      </c>
      <c r="O64" s="20" t="str">
        <f t="shared" si="28"/>
        <v/>
      </c>
      <c r="P64" s="20" t="str">
        <f t="shared" si="28"/>
        <v/>
      </c>
      <c r="Q64" s="20" t="str">
        <f t="shared" si="28"/>
        <v/>
      </c>
      <c r="R64" s="20" t="str">
        <f t="shared" si="28"/>
        <v/>
      </c>
      <c r="S64" s="20" t="str">
        <f t="shared" si="28"/>
        <v/>
      </c>
      <c r="T64" s="20" t="str">
        <f t="shared" si="28"/>
        <v/>
      </c>
      <c r="U64" s="20" t="str">
        <f t="shared" si="28"/>
        <v/>
      </c>
      <c r="V64" s="20" t="str">
        <f t="shared" si="28"/>
        <v/>
      </c>
      <c r="W64" s="20" t="str">
        <f t="shared" si="28"/>
        <v/>
      </c>
      <c r="X64" s="20" t="str">
        <f t="shared" si="28"/>
        <v/>
      </c>
      <c r="Y64" s="20" t="str">
        <f t="shared" si="28"/>
        <v/>
      </c>
      <c r="Z64" s="20" t="str">
        <f t="shared" si="28"/>
        <v/>
      </c>
      <c r="AA64" s="20" t="str">
        <f t="shared" si="28"/>
        <v/>
      </c>
      <c r="AB64" s="20" t="str">
        <f t="shared" si="28"/>
        <v/>
      </c>
      <c r="AC64" s="20" t="str">
        <f t="shared" si="28"/>
        <v/>
      </c>
      <c r="AD64" s="20" t="str">
        <f t="shared" si="28"/>
        <v/>
      </c>
      <c r="AE64" s="20" t="str">
        <f t="shared" si="28"/>
        <v/>
      </c>
      <c r="AF64" s="20" t="str">
        <f t="shared" si="28"/>
        <v/>
      </c>
      <c r="AG64" s="20" t="str">
        <f t="shared" si="28"/>
        <v/>
      </c>
      <c r="AH64" s="20" t="str">
        <f t="shared" si="28"/>
        <v/>
      </c>
      <c r="AI64" s="20" t="str">
        <f t="shared" si="28"/>
        <v/>
      </c>
      <c r="AJ64" s="20" t="str">
        <f t="shared" si="28"/>
        <v/>
      </c>
      <c r="AK64" s="20" t="str">
        <f t="shared" si="28"/>
        <v/>
      </c>
      <c r="AL64" s="20" t="str">
        <f t="shared" si="28"/>
        <v/>
      </c>
      <c r="AM64" s="20" t="str">
        <f t="shared" si="28"/>
        <v/>
      </c>
      <c r="AN64" s="20" t="str">
        <f t="shared" si="28"/>
        <v/>
      </c>
      <c r="AO64" s="20" t="str">
        <f t="shared" si="28"/>
        <v/>
      </c>
      <c r="AP64" s="20" t="str">
        <f t="shared" si="28"/>
        <v/>
      </c>
      <c r="AQ64" s="20" t="str">
        <f t="shared" si="28"/>
        <v/>
      </c>
      <c r="AR64" s="20" t="str">
        <f t="shared" si="28"/>
        <v/>
      </c>
      <c r="AS64" s="20" t="str">
        <f t="shared" si="28"/>
        <v/>
      </c>
      <c r="AT64" s="20" t="str">
        <f t="shared" si="28"/>
        <v/>
      </c>
      <c r="AU64" s="20" t="str">
        <f t="shared" si="28"/>
        <v/>
      </c>
      <c r="AV64" s="20" t="str">
        <f t="shared" si="28"/>
        <v/>
      </c>
      <c r="AW64" s="20" t="str">
        <f t="shared" si="28"/>
        <v/>
      </c>
      <c r="AX64" s="20" t="str">
        <f t="shared" si="28"/>
        <v/>
      </c>
    </row>
    <row r="65" ht="39.75" customHeight="1">
      <c r="A65" s="13" t="str">
        <f>'Настройки'!B15</f>
        <v>Планировщик покупок</v>
      </c>
      <c r="B65" s="19" t="str">
        <f>IF(COUNT('Эксперт 1'!B63,'Эксперт 2'!B63,'Эксперт 3'!B63,'Эксперт 4'!B63)&lt;4,"",PRODUCT('Эксперт 1'!B63,'Эксперт 2'!B63,'Эксперт 3'!B63,'Эксперт 4'!B63)^(1/4))</f>
        <v/>
      </c>
      <c r="C65" s="19">
        <f>IF(COUNT('Эксперт 1'!C63,'Эксперт 2'!C63,'Эксперт 3'!C63,'Эксперт 4'!C63)&lt;4,"",PRODUCT('Эксперт 1'!C63,'Эксперт 2'!C63,'Эксперт 3'!C63,'Эксперт 4'!C63)^(1/4))</f>
        <v>1</v>
      </c>
      <c r="D65" s="19" t="str">
        <f>IF(COUNT('Эксперт 1'!D63,'Эксперт 2'!D63,'Эксперт 3'!D63,'Эксперт 4'!D63)&lt;4,"",PRODUCT('Эксперт 1'!D63,'Эксперт 2'!D63,'Эксперт 3'!D63,'Эксперт 4'!D63)^(1/4))</f>
        <v/>
      </c>
      <c r="E65" s="19" t="str">
        <f>IF(COUNT('Эксперт 1'!E63,'Эксперт 2'!E63,'Эксперт 3'!E63,'Эксперт 4'!E63)&lt;4,"",PRODUCT('Эксперт 1'!E63,'Эксперт 2'!E63,'Эксперт 3'!E63,'Эксперт 4'!E63)^(1/4))</f>
        <v/>
      </c>
      <c r="F65" s="19" t="str">
        <f t="shared" si="29"/>
        <v/>
      </c>
      <c r="G65" s="19" t="str">
        <f t="shared" si="30"/>
        <v/>
      </c>
      <c r="H65" s="20"/>
      <c r="I65" s="20"/>
      <c r="J65" s="20" t="str">
        <f t="shared" si="31"/>
        <v/>
      </c>
      <c r="K65" s="20" t="str">
        <f t="shared" ref="K65:AX65" si="32">IF(J65="","",($B65*J$64+$C65*J$65+$D65*J$66+$E65*J$67)/SUM(J$64:J$67))</f>
        <v/>
      </c>
      <c r="L65" s="20" t="str">
        <f t="shared" si="32"/>
        <v/>
      </c>
      <c r="M65" s="20" t="str">
        <f t="shared" si="32"/>
        <v/>
      </c>
      <c r="N65" s="20" t="str">
        <f t="shared" si="32"/>
        <v/>
      </c>
      <c r="O65" s="20" t="str">
        <f t="shared" si="32"/>
        <v/>
      </c>
      <c r="P65" s="20" t="str">
        <f t="shared" si="32"/>
        <v/>
      </c>
      <c r="Q65" s="20" t="str">
        <f t="shared" si="32"/>
        <v/>
      </c>
      <c r="R65" s="20" t="str">
        <f t="shared" si="32"/>
        <v/>
      </c>
      <c r="S65" s="20" t="str">
        <f t="shared" si="32"/>
        <v/>
      </c>
      <c r="T65" s="20" t="str">
        <f t="shared" si="32"/>
        <v/>
      </c>
      <c r="U65" s="20" t="str">
        <f t="shared" si="32"/>
        <v/>
      </c>
      <c r="V65" s="20" t="str">
        <f t="shared" si="32"/>
        <v/>
      </c>
      <c r="W65" s="20" t="str">
        <f t="shared" si="32"/>
        <v/>
      </c>
      <c r="X65" s="20" t="str">
        <f t="shared" si="32"/>
        <v/>
      </c>
      <c r="Y65" s="20" t="str">
        <f t="shared" si="32"/>
        <v/>
      </c>
      <c r="Z65" s="20" t="str">
        <f t="shared" si="32"/>
        <v/>
      </c>
      <c r="AA65" s="20" t="str">
        <f t="shared" si="32"/>
        <v/>
      </c>
      <c r="AB65" s="20" t="str">
        <f t="shared" si="32"/>
        <v/>
      </c>
      <c r="AC65" s="20" t="str">
        <f t="shared" si="32"/>
        <v/>
      </c>
      <c r="AD65" s="20" t="str">
        <f t="shared" si="32"/>
        <v/>
      </c>
      <c r="AE65" s="20" t="str">
        <f t="shared" si="32"/>
        <v/>
      </c>
      <c r="AF65" s="20" t="str">
        <f t="shared" si="32"/>
        <v/>
      </c>
      <c r="AG65" s="20" t="str">
        <f t="shared" si="32"/>
        <v/>
      </c>
      <c r="AH65" s="20" t="str">
        <f t="shared" si="32"/>
        <v/>
      </c>
      <c r="AI65" s="20" t="str">
        <f t="shared" si="32"/>
        <v/>
      </c>
      <c r="AJ65" s="20" t="str">
        <f t="shared" si="32"/>
        <v/>
      </c>
      <c r="AK65" s="20" t="str">
        <f t="shared" si="32"/>
        <v/>
      </c>
      <c r="AL65" s="20" t="str">
        <f t="shared" si="32"/>
        <v/>
      </c>
      <c r="AM65" s="20" t="str">
        <f t="shared" si="32"/>
        <v/>
      </c>
      <c r="AN65" s="20" t="str">
        <f t="shared" si="32"/>
        <v/>
      </c>
      <c r="AO65" s="20" t="str">
        <f t="shared" si="32"/>
        <v/>
      </c>
      <c r="AP65" s="20" t="str">
        <f t="shared" si="32"/>
        <v/>
      </c>
      <c r="AQ65" s="20" t="str">
        <f t="shared" si="32"/>
        <v/>
      </c>
      <c r="AR65" s="20" t="str">
        <f t="shared" si="32"/>
        <v/>
      </c>
      <c r="AS65" s="20" t="str">
        <f t="shared" si="32"/>
        <v/>
      </c>
      <c r="AT65" s="20" t="str">
        <f t="shared" si="32"/>
        <v/>
      </c>
      <c r="AU65" s="20" t="str">
        <f t="shared" si="32"/>
        <v/>
      </c>
      <c r="AV65" s="20" t="str">
        <f t="shared" si="32"/>
        <v/>
      </c>
      <c r="AW65" s="20" t="str">
        <f t="shared" si="32"/>
        <v/>
      </c>
      <c r="AX65" s="20" t="str">
        <f t="shared" si="32"/>
        <v/>
      </c>
    </row>
    <row r="66" ht="39.75" customHeight="1">
      <c r="A66" s="13" t="str">
        <f>'Настройки'!B16</f>
        <v>Концепция 3</v>
      </c>
      <c r="B66" s="19" t="str">
        <f>IF(COUNT('Эксперт 1'!B64,'Эксперт 2'!B64,'Эксперт 3'!B64,'Эксперт 4'!B64)&lt;4,"",PRODUCT('Эксперт 1'!B64,'Эксперт 2'!B64,'Эксперт 3'!B64,'Эксперт 4'!B64)^(1/4))</f>
        <v/>
      </c>
      <c r="C66" s="19" t="str">
        <f>IF(COUNT('Эксперт 1'!C64,'Эксперт 2'!C64,'Эксперт 3'!C64,'Эксперт 4'!C64)&lt;4,"",PRODUCT('Эксперт 1'!C64,'Эксперт 2'!C64,'Эксперт 3'!C64,'Эксперт 4'!C64)^(1/4))</f>
        <v/>
      </c>
      <c r="D66" s="19">
        <f>IF(COUNT('Эксперт 1'!D64,'Эксперт 2'!D64,'Эксперт 3'!D64,'Эксперт 4'!D64)&lt;4,"",PRODUCT('Эксперт 1'!D64,'Эксперт 2'!D64,'Эксперт 3'!D64,'Эксперт 4'!D64)^(1/4))</f>
        <v>1</v>
      </c>
      <c r="E66" s="19" t="str">
        <f>IF(COUNT('Эксперт 1'!E64,'Эксперт 2'!E64,'Эксперт 3'!E64,'Эксперт 4'!E64)&lt;4,"",PRODUCT('Эксперт 1'!E64,'Эксперт 2'!E64,'Эксперт 3'!E64,'Эксперт 4'!E64)^(1/4))</f>
        <v/>
      </c>
      <c r="F66" s="19" t="str">
        <f t="shared" si="29"/>
        <v/>
      </c>
      <c r="G66" s="19" t="str">
        <f t="shared" si="30"/>
        <v/>
      </c>
      <c r="H66" s="20"/>
      <c r="I66" s="20"/>
      <c r="J66" s="20" t="str">
        <f t="shared" si="31"/>
        <v/>
      </c>
      <c r="K66" s="20" t="str">
        <f t="shared" ref="K66:AX66" si="33">IF(J66="","",($B66*J$64+$C66*J$65+$D66*J$66+$E66*J$67)/SUM(J$64:J$67))</f>
        <v/>
      </c>
      <c r="L66" s="20" t="str">
        <f t="shared" si="33"/>
        <v/>
      </c>
      <c r="M66" s="20" t="str">
        <f t="shared" si="33"/>
        <v/>
      </c>
      <c r="N66" s="20" t="str">
        <f t="shared" si="33"/>
        <v/>
      </c>
      <c r="O66" s="20" t="str">
        <f t="shared" si="33"/>
        <v/>
      </c>
      <c r="P66" s="20" t="str">
        <f t="shared" si="33"/>
        <v/>
      </c>
      <c r="Q66" s="20" t="str">
        <f t="shared" si="33"/>
        <v/>
      </c>
      <c r="R66" s="20" t="str">
        <f t="shared" si="33"/>
        <v/>
      </c>
      <c r="S66" s="20" t="str">
        <f t="shared" si="33"/>
        <v/>
      </c>
      <c r="T66" s="20" t="str">
        <f t="shared" si="33"/>
        <v/>
      </c>
      <c r="U66" s="20" t="str">
        <f t="shared" si="33"/>
        <v/>
      </c>
      <c r="V66" s="20" t="str">
        <f t="shared" si="33"/>
        <v/>
      </c>
      <c r="W66" s="20" t="str">
        <f t="shared" si="33"/>
        <v/>
      </c>
      <c r="X66" s="20" t="str">
        <f t="shared" si="33"/>
        <v/>
      </c>
      <c r="Y66" s="20" t="str">
        <f t="shared" si="33"/>
        <v/>
      </c>
      <c r="Z66" s="20" t="str">
        <f t="shared" si="33"/>
        <v/>
      </c>
      <c r="AA66" s="20" t="str">
        <f t="shared" si="33"/>
        <v/>
      </c>
      <c r="AB66" s="20" t="str">
        <f t="shared" si="33"/>
        <v/>
      </c>
      <c r="AC66" s="20" t="str">
        <f t="shared" si="33"/>
        <v/>
      </c>
      <c r="AD66" s="20" t="str">
        <f t="shared" si="33"/>
        <v/>
      </c>
      <c r="AE66" s="20" t="str">
        <f t="shared" si="33"/>
        <v/>
      </c>
      <c r="AF66" s="20" t="str">
        <f t="shared" si="33"/>
        <v/>
      </c>
      <c r="AG66" s="20" t="str">
        <f t="shared" si="33"/>
        <v/>
      </c>
      <c r="AH66" s="20" t="str">
        <f t="shared" si="33"/>
        <v/>
      </c>
      <c r="AI66" s="20" t="str">
        <f t="shared" si="33"/>
        <v/>
      </c>
      <c r="AJ66" s="20" t="str">
        <f t="shared" si="33"/>
        <v/>
      </c>
      <c r="AK66" s="20" t="str">
        <f t="shared" si="33"/>
        <v/>
      </c>
      <c r="AL66" s="20" t="str">
        <f t="shared" si="33"/>
        <v/>
      </c>
      <c r="AM66" s="20" t="str">
        <f t="shared" si="33"/>
        <v/>
      </c>
      <c r="AN66" s="20" t="str">
        <f t="shared" si="33"/>
        <v/>
      </c>
      <c r="AO66" s="20" t="str">
        <f t="shared" si="33"/>
        <v/>
      </c>
      <c r="AP66" s="20" t="str">
        <f t="shared" si="33"/>
        <v/>
      </c>
      <c r="AQ66" s="20" t="str">
        <f t="shared" si="33"/>
        <v/>
      </c>
      <c r="AR66" s="20" t="str">
        <f t="shared" si="33"/>
        <v/>
      </c>
      <c r="AS66" s="20" t="str">
        <f t="shared" si="33"/>
        <v/>
      </c>
      <c r="AT66" s="20" t="str">
        <f t="shared" si="33"/>
        <v/>
      </c>
      <c r="AU66" s="20" t="str">
        <f t="shared" si="33"/>
        <v/>
      </c>
      <c r="AV66" s="20" t="str">
        <f t="shared" si="33"/>
        <v/>
      </c>
      <c r="AW66" s="20" t="str">
        <f t="shared" si="33"/>
        <v/>
      </c>
      <c r="AX66" s="20" t="str">
        <f t="shared" si="33"/>
        <v/>
      </c>
    </row>
    <row r="67" ht="39.75" customHeight="1">
      <c r="A67" s="13" t="str">
        <f>'Настройки'!B17</f>
        <v>Концепция 4</v>
      </c>
      <c r="B67" s="19" t="str">
        <f>IF(COUNT('Эксперт 1'!B65,'Эксперт 2'!B65,'Эксперт 3'!B65,'Эксперт 4'!B65)&lt;4,"",PRODUCT('Эксперт 1'!B65,'Эксперт 2'!B65,'Эксперт 3'!B65,'Эксперт 4'!B65)^(1/4))</f>
        <v/>
      </c>
      <c r="C67" s="19" t="str">
        <f>IF(COUNT('Эксперт 1'!C65,'Эксперт 2'!C65,'Эксперт 3'!C65,'Эксперт 4'!C65)&lt;4,"",PRODUCT('Эксперт 1'!C65,'Эксперт 2'!C65,'Эксперт 3'!C65,'Эксперт 4'!C65)^(1/4))</f>
        <v/>
      </c>
      <c r="D67" s="19" t="str">
        <f>IF(COUNT('Эксперт 1'!D65,'Эксперт 2'!D65,'Эксперт 3'!D65,'Эксперт 4'!D65)&lt;4,"",PRODUCT('Эксперт 1'!D65,'Эксперт 2'!D65,'Эксперт 3'!D65,'Эксперт 4'!D65)^(1/4))</f>
        <v/>
      </c>
      <c r="E67" s="19">
        <f>IF(COUNT('Эксперт 1'!E65,'Эксперт 2'!E65,'Эксперт 3'!E65,'Эксперт 4'!E65)&lt;4,"",PRODUCT('Эксперт 1'!E65,'Эксперт 2'!E65,'Эксперт 3'!E65,'Эксперт 4'!E65)^(1/4))</f>
        <v>1</v>
      </c>
      <c r="F67" s="19" t="str">
        <f t="shared" si="29"/>
        <v/>
      </c>
      <c r="G67" s="19" t="str">
        <f t="shared" si="30"/>
        <v/>
      </c>
      <c r="H67" s="20"/>
      <c r="I67" s="20"/>
      <c r="J67" s="20" t="str">
        <f t="shared" si="31"/>
        <v/>
      </c>
      <c r="K67" s="20" t="str">
        <f t="shared" ref="K67:AX67" si="34">IF(J67="","",($B67*J$64+$C67*J$65+$D67*J$66+$E67*J$67)/SUM(J$64:J$67))</f>
        <v/>
      </c>
      <c r="L67" s="20" t="str">
        <f t="shared" si="34"/>
        <v/>
      </c>
      <c r="M67" s="20" t="str">
        <f t="shared" si="34"/>
        <v/>
      </c>
      <c r="N67" s="20" t="str">
        <f t="shared" si="34"/>
        <v/>
      </c>
      <c r="O67" s="20" t="str">
        <f t="shared" si="34"/>
        <v/>
      </c>
      <c r="P67" s="20" t="str">
        <f t="shared" si="34"/>
        <v/>
      </c>
      <c r="Q67" s="20" t="str">
        <f t="shared" si="34"/>
        <v/>
      </c>
      <c r="R67" s="20" t="str">
        <f t="shared" si="34"/>
        <v/>
      </c>
      <c r="S67" s="20" t="str">
        <f t="shared" si="34"/>
        <v/>
      </c>
      <c r="T67" s="20" t="str">
        <f t="shared" si="34"/>
        <v/>
      </c>
      <c r="U67" s="20" t="str">
        <f t="shared" si="34"/>
        <v/>
      </c>
      <c r="V67" s="20" t="str">
        <f t="shared" si="34"/>
        <v/>
      </c>
      <c r="W67" s="20" t="str">
        <f t="shared" si="34"/>
        <v/>
      </c>
      <c r="X67" s="20" t="str">
        <f t="shared" si="34"/>
        <v/>
      </c>
      <c r="Y67" s="20" t="str">
        <f t="shared" si="34"/>
        <v/>
      </c>
      <c r="Z67" s="20" t="str">
        <f t="shared" si="34"/>
        <v/>
      </c>
      <c r="AA67" s="20" t="str">
        <f t="shared" si="34"/>
        <v/>
      </c>
      <c r="AB67" s="20" t="str">
        <f t="shared" si="34"/>
        <v/>
      </c>
      <c r="AC67" s="20" t="str">
        <f t="shared" si="34"/>
        <v/>
      </c>
      <c r="AD67" s="20" t="str">
        <f t="shared" si="34"/>
        <v/>
      </c>
      <c r="AE67" s="20" t="str">
        <f t="shared" si="34"/>
        <v/>
      </c>
      <c r="AF67" s="20" t="str">
        <f t="shared" si="34"/>
        <v/>
      </c>
      <c r="AG67" s="20" t="str">
        <f t="shared" si="34"/>
        <v/>
      </c>
      <c r="AH67" s="20" t="str">
        <f t="shared" si="34"/>
        <v/>
      </c>
      <c r="AI67" s="20" t="str">
        <f t="shared" si="34"/>
        <v/>
      </c>
      <c r="AJ67" s="20" t="str">
        <f t="shared" si="34"/>
        <v/>
      </c>
      <c r="AK67" s="20" t="str">
        <f t="shared" si="34"/>
        <v/>
      </c>
      <c r="AL67" s="20" t="str">
        <f t="shared" si="34"/>
        <v/>
      </c>
      <c r="AM67" s="20" t="str">
        <f t="shared" si="34"/>
        <v/>
      </c>
      <c r="AN67" s="20" t="str">
        <f t="shared" si="34"/>
        <v/>
      </c>
      <c r="AO67" s="20" t="str">
        <f t="shared" si="34"/>
        <v/>
      </c>
      <c r="AP67" s="20" t="str">
        <f t="shared" si="34"/>
        <v/>
      </c>
      <c r="AQ67" s="20" t="str">
        <f t="shared" si="34"/>
        <v/>
      </c>
      <c r="AR67" s="20" t="str">
        <f t="shared" si="34"/>
        <v/>
      </c>
      <c r="AS67" s="20" t="str">
        <f t="shared" si="34"/>
        <v/>
      </c>
      <c r="AT67" s="20" t="str">
        <f t="shared" si="34"/>
        <v/>
      </c>
      <c r="AU67" s="20" t="str">
        <f t="shared" si="34"/>
        <v/>
      </c>
      <c r="AV67" s="20" t="str">
        <f t="shared" si="34"/>
        <v/>
      </c>
      <c r="AW67" s="20" t="str">
        <f t="shared" si="34"/>
        <v/>
      </c>
      <c r="AX67" s="20" t="str">
        <f t="shared" si="34"/>
        <v/>
      </c>
    </row>
    <row r="68" ht="22.5" customHeight="1">
      <c r="A68" s="1"/>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row>
    <row r="69" ht="22.5" customHeight="1">
      <c r="A69" s="1" t="s">
        <v>281</v>
      </c>
      <c r="B69" s="20" t="s">
        <v>282</v>
      </c>
      <c r="C69" s="20" t="s">
        <v>283</v>
      </c>
      <c r="D69" s="20" t="s">
        <v>284</v>
      </c>
      <c r="E69" s="20" t="s">
        <v>285</v>
      </c>
      <c r="F69" s="20" t="s">
        <v>286</v>
      </c>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row>
    <row r="70" ht="22.5" customHeight="1">
      <c r="A70" s="1"/>
      <c r="B70" s="20" t="str">
        <f>IF(COUNT(C70)=0,"",C70/'Настройки'!$B$32)</f>
        <v/>
      </c>
      <c r="C70" s="20" t="str">
        <f>IF(D70="","",MAX(0,(D70-4)/3))</f>
        <v/>
      </c>
      <c r="D70" s="20" t="str">
        <f>IF(COUNT(G64:G67)&lt;4,"",AVERAGE(G64:G67))</f>
        <v/>
      </c>
      <c r="E70" s="20" t="str">
        <f>IF(D70="","",SUM(F64:F67))</f>
        <v/>
      </c>
      <c r="F70" s="20" t="str">
        <f>IF(D70="","",MAX(ABS((G64-$D$70)*F64),ABS((G65-$D$70)*F65),ABS((G66-$D$70)*F66),ABS((G67-$D$70)*F67)))</f>
        <v/>
      </c>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row>
    <row r="71" ht="22.5" customHeight="1">
      <c r="A71" s="1"/>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row>
    <row r="72" ht="22.5" customHeight="1">
      <c r="A72" s="1" t="str">
        <f>IF(COUNT(B70)=0,"Нет оценок",IF(F70&gt;0.00000001,"Недостаточная сходимость",IF(B70&lt;='Настройки'!$B$31,"Согласовано","Пересмотреть сравнения")))</f>
        <v>Нет оценок</v>
      </c>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row>
    <row r="73" ht="22.5" customHeight="1">
      <c r="A73" s="1"/>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row>
    <row r="74" ht="22.5" customHeight="1">
      <c r="A74" s="1"/>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row>
    <row r="75" ht="22.5" customHeight="1">
      <c r="A75" s="1"/>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row>
    <row r="76" ht="22.5" customHeight="1">
      <c r="A76" s="1" t="s">
        <v>297</v>
      </c>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row>
    <row r="77" ht="54.0" customHeight="1">
      <c r="A77" s="3" t="s">
        <v>279</v>
      </c>
      <c r="B77" s="21" t="str">
        <f>'Настройки'!B14</f>
        <v>Детейлинг-центр</v>
      </c>
      <c r="C77" s="21" t="str">
        <f>'Настройки'!B15</f>
        <v>Планировщик покупок</v>
      </c>
      <c r="D77" s="21" t="str">
        <f>'Настройки'!B16</f>
        <v>Концепция 3</v>
      </c>
      <c r="E77" s="21" t="str">
        <f>'Настройки'!B17</f>
        <v>Концепция 4</v>
      </c>
      <c r="F77" s="21" t="s">
        <v>274</v>
      </c>
      <c r="G77" s="21" t="s">
        <v>280</v>
      </c>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row>
    <row r="78" ht="39.75" customHeight="1">
      <c r="A78" s="13" t="str">
        <f>'Настройки'!B14</f>
        <v>Детейлинг-центр</v>
      </c>
      <c r="B78" s="19">
        <f>IF(COUNT('Эксперт 1'!B74,'Эксперт 2'!B74,'Эксперт 3'!B74,'Эксперт 4'!B74)&lt;4,"",PRODUCT('Эксперт 1'!B74,'Эксперт 2'!B74,'Эксперт 3'!B74,'Эксперт 4'!B74)^(1/4))</f>
        <v>1</v>
      </c>
      <c r="C78" s="19" t="str">
        <f>IF(COUNT('Эксперт 1'!C74,'Эксперт 2'!C74,'Эксперт 3'!C74,'Эксперт 4'!C74)&lt;4,"",PRODUCT('Эксперт 1'!C74,'Эксперт 2'!C74,'Эксперт 3'!C74,'Эксперт 4'!C74)^(1/4))</f>
        <v/>
      </c>
      <c r="D78" s="19" t="str">
        <f>IF(COUNT('Эксперт 1'!D74,'Эксперт 2'!D74,'Эксперт 3'!D74,'Эксперт 4'!D74)&lt;4,"",PRODUCT('Эксперт 1'!D74,'Эксперт 2'!D74,'Эксперт 3'!D74,'Эксперт 4'!D74)^(1/4))</f>
        <v/>
      </c>
      <c r="E78" s="19" t="str">
        <f>IF(COUNT('Эксперт 1'!E74,'Эксперт 2'!E74,'Эксперт 3'!E74,'Эксперт 4'!E74)&lt;4,"",PRODUCT('Эксперт 1'!E74,'Эксперт 2'!E74,'Эксперт 3'!E74,'Эксперт 4'!E74)^(1/4))</f>
        <v/>
      </c>
      <c r="F78" s="19" t="str">
        <f t="shared" ref="F78:F81" si="36">IF(AX78="","",AX78/SUM(AX$78:AX$81))</f>
        <v/>
      </c>
      <c r="G78" s="19" t="str">
        <f t="shared" ref="G78:G81" si="37">IF(F78="","",(B78*$F$78+C78*$F$79+D78*$F$80+E78*$F$81)/F78)</f>
        <v/>
      </c>
      <c r="H78" s="20"/>
      <c r="I78" s="20"/>
      <c r="J78" s="20" t="str">
        <f t="shared" ref="J78:J81" si="38">IF(COUNT($B$78:$E$81)&lt;16,"",1/4)</f>
        <v/>
      </c>
      <c r="K78" s="20" t="str">
        <f t="shared" ref="K78:AX78" si="35">IF(J78="","",($B78*J$78+$C78*J$79+$D78*J$80+$E78*J$81)/SUM(J$78:J$81))</f>
        <v/>
      </c>
      <c r="L78" s="20" t="str">
        <f t="shared" si="35"/>
        <v/>
      </c>
      <c r="M78" s="20" t="str">
        <f t="shared" si="35"/>
        <v/>
      </c>
      <c r="N78" s="20" t="str">
        <f t="shared" si="35"/>
        <v/>
      </c>
      <c r="O78" s="20" t="str">
        <f t="shared" si="35"/>
        <v/>
      </c>
      <c r="P78" s="20" t="str">
        <f t="shared" si="35"/>
        <v/>
      </c>
      <c r="Q78" s="20" t="str">
        <f t="shared" si="35"/>
        <v/>
      </c>
      <c r="R78" s="20" t="str">
        <f t="shared" si="35"/>
        <v/>
      </c>
      <c r="S78" s="20" t="str">
        <f t="shared" si="35"/>
        <v/>
      </c>
      <c r="T78" s="20" t="str">
        <f t="shared" si="35"/>
        <v/>
      </c>
      <c r="U78" s="20" t="str">
        <f t="shared" si="35"/>
        <v/>
      </c>
      <c r="V78" s="20" t="str">
        <f t="shared" si="35"/>
        <v/>
      </c>
      <c r="W78" s="20" t="str">
        <f t="shared" si="35"/>
        <v/>
      </c>
      <c r="X78" s="20" t="str">
        <f t="shared" si="35"/>
        <v/>
      </c>
      <c r="Y78" s="20" t="str">
        <f t="shared" si="35"/>
        <v/>
      </c>
      <c r="Z78" s="20" t="str">
        <f t="shared" si="35"/>
        <v/>
      </c>
      <c r="AA78" s="20" t="str">
        <f t="shared" si="35"/>
        <v/>
      </c>
      <c r="AB78" s="20" t="str">
        <f t="shared" si="35"/>
        <v/>
      </c>
      <c r="AC78" s="20" t="str">
        <f t="shared" si="35"/>
        <v/>
      </c>
      <c r="AD78" s="20" t="str">
        <f t="shared" si="35"/>
        <v/>
      </c>
      <c r="AE78" s="20" t="str">
        <f t="shared" si="35"/>
        <v/>
      </c>
      <c r="AF78" s="20" t="str">
        <f t="shared" si="35"/>
        <v/>
      </c>
      <c r="AG78" s="20" t="str">
        <f t="shared" si="35"/>
        <v/>
      </c>
      <c r="AH78" s="20" t="str">
        <f t="shared" si="35"/>
        <v/>
      </c>
      <c r="AI78" s="20" t="str">
        <f t="shared" si="35"/>
        <v/>
      </c>
      <c r="AJ78" s="20" t="str">
        <f t="shared" si="35"/>
        <v/>
      </c>
      <c r="AK78" s="20" t="str">
        <f t="shared" si="35"/>
        <v/>
      </c>
      <c r="AL78" s="20" t="str">
        <f t="shared" si="35"/>
        <v/>
      </c>
      <c r="AM78" s="20" t="str">
        <f t="shared" si="35"/>
        <v/>
      </c>
      <c r="AN78" s="20" t="str">
        <f t="shared" si="35"/>
        <v/>
      </c>
      <c r="AO78" s="20" t="str">
        <f t="shared" si="35"/>
        <v/>
      </c>
      <c r="AP78" s="20" t="str">
        <f t="shared" si="35"/>
        <v/>
      </c>
      <c r="AQ78" s="20" t="str">
        <f t="shared" si="35"/>
        <v/>
      </c>
      <c r="AR78" s="20" t="str">
        <f t="shared" si="35"/>
        <v/>
      </c>
      <c r="AS78" s="20" t="str">
        <f t="shared" si="35"/>
        <v/>
      </c>
      <c r="AT78" s="20" t="str">
        <f t="shared" si="35"/>
        <v/>
      </c>
      <c r="AU78" s="20" t="str">
        <f t="shared" si="35"/>
        <v/>
      </c>
      <c r="AV78" s="20" t="str">
        <f t="shared" si="35"/>
        <v/>
      </c>
      <c r="AW78" s="20" t="str">
        <f t="shared" si="35"/>
        <v/>
      </c>
      <c r="AX78" s="20" t="str">
        <f t="shared" si="35"/>
        <v/>
      </c>
    </row>
    <row r="79" ht="39.75" customHeight="1">
      <c r="A79" s="13" t="str">
        <f>'Настройки'!B15</f>
        <v>Планировщик покупок</v>
      </c>
      <c r="B79" s="19" t="str">
        <f>IF(COUNT('Эксперт 1'!B75,'Эксперт 2'!B75,'Эксперт 3'!B75,'Эксперт 4'!B75)&lt;4,"",PRODUCT('Эксперт 1'!B75,'Эксперт 2'!B75,'Эксперт 3'!B75,'Эксперт 4'!B75)^(1/4))</f>
        <v/>
      </c>
      <c r="C79" s="19">
        <f>IF(COUNT('Эксперт 1'!C75,'Эксперт 2'!C75,'Эксперт 3'!C75,'Эксперт 4'!C75)&lt;4,"",PRODUCT('Эксперт 1'!C75,'Эксперт 2'!C75,'Эксперт 3'!C75,'Эксперт 4'!C75)^(1/4))</f>
        <v>1</v>
      </c>
      <c r="D79" s="19" t="str">
        <f>IF(COUNT('Эксперт 1'!D75,'Эксперт 2'!D75,'Эксперт 3'!D75,'Эксперт 4'!D75)&lt;4,"",PRODUCT('Эксперт 1'!D75,'Эксперт 2'!D75,'Эксперт 3'!D75,'Эксперт 4'!D75)^(1/4))</f>
        <v/>
      </c>
      <c r="E79" s="19" t="str">
        <f>IF(COUNT('Эксперт 1'!E75,'Эксперт 2'!E75,'Эксперт 3'!E75,'Эксперт 4'!E75)&lt;4,"",PRODUCT('Эксперт 1'!E75,'Эксперт 2'!E75,'Эксперт 3'!E75,'Эксперт 4'!E75)^(1/4))</f>
        <v/>
      </c>
      <c r="F79" s="19" t="str">
        <f t="shared" si="36"/>
        <v/>
      </c>
      <c r="G79" s="19" t="str">
        <f t="shared" si="37"/>
        <v/>
      </c>
      <c r="H79" s="20"/>
      <c r="I79" s="20"/>
      <c r="J79" s="20" t="str">
        <f t="shared" si="38"/>
        <v/>
      </c>
      <c r="K79" s="20" t="str">
        <f t="shared" ref="K79:AX79" si="39">IF(J79="","",($B79*J$78+$C79*J$79+$D79*J$80+$E79*J$81)/SUM(J$78:J$81))</f>
        <v/>
      </c>
      <c r="L79" s="20" t="str">
        <f t="shared" si="39"/>
        <v/>
      </c>
      <c r="M79" s="20" t="str">
        <f t="shared" si="39"/>
        <v/>
      </c>
      <c r="N79" s="20" t="str">
        <f t="shared" si="39"/>
        <v/>
      </c>
      <c r="O79" s="20" t="str">
        <f t="shared" si="39"/>
        <v/>
      </c>
      <c r="P79" s="20" t="str">
        <f t="shared" si="39"/>
        <v/>
      </c>
      <c r="Q79" s="20" t="str">
        <f t="shared" si="39"/>
        <v/>
      </c>
      <c r="R79" s="20" t="str">
        <f t="shared" si="39"/>
        <v/>
      </c>
      <c r="S79" s="20" t="str">
        <f t="shared" si="39"/>
        <v/>
      </c>
      <c r="T79" s="20" t="str">
        <f t="shared" si="39"/>
        <v/>
      </c>
      <c r="U79" s="20" t="str">
        <f t="shared" si="39"/>
        <v/>
      </c>
      <c r="V79" s="20" t="str">
        <f t="shared" si="39"/>
        <v/>
      </c>
      <c r="W79" s="20" t="str">
        <f t="shared" si="39"/>
        <v/>
      </c>
      <c r="X79" s="20" t="str">
        <f t="shared" si="39"/>
        <v/>
      </c>
      <c r="Y79" s="20" t="str">
        <f t="shared" si="39"/>
        <v/>
      </c>
      <c r="Z79" s="20" t="str">
        <f t="shared" si="39"/>
        <v/>
      </c>
      <c r="AA79" s="20" t="str">
        <f t="shared" si="39"/>
        <v/>
      </c>
      <c r="AB79" s="20" t="str">
        <f t="shared" si="39"/>
        <v/>
      </c>
      <c r="AC79" s="20" t="str">
        <f t="shared" si="39"/>
        <v/>
      </c>
      <c r="AD79" s="20" t="str">
        <f t="shared" si="39"/>
        <v/>
      </c>
      <c r="AE79" s="20" t="str">
        <f t="shared" si="39"/>
        <v/>
      </c>
      <c r="AF79" s="20" t="str">
        <f t="shared" si="39"/>
        <v/>
      </c>
      <c r="AG79" s="20" t="str">
        <f t="shared" si="39"/>
        <v/>
      </c>
      <c r="AH79" s="20" t="str">
        <f t="shared" si="39"/>
        <v/>
      </c>
      <c r="AI79" s="20" t="str">
        <f t="shared" si="39"/>
        <v/>
      </c>
      <c r="AJ79" s="20" t="str">
        <f t="shared" si="39"/>
        <v/>
      </c>
      <c r="AK79" s="20" t="str">
        <f t="shared" si="39"/>
        <v/>
      </c>
      <c r="AL79" s="20" t="str">
        <f t="shared" si="39"/>
        <v/>
      </c>
      <c r="AM79" s="20" t="str">
        <f t="shared" si="39"/>
        <v/>
      </c>
      <c r="AN79" s="20" t="str">
        <f t="shared" si="39"/>
        <v/>
      </c>
      <c r="AO79" s="20" t="str">
        <f t="shared" si="39"/>
        <v/>
      </c>
      <c r="AP79" s="20" t="str">
        <f t="shared" si="39"/>
        <v/>
      </c>
      <c r="AQ79" s="20" t="str">
        <f t="shared" si="39"/>
        <v/>
      </c>
      <c r="AR79" s="20" t="str">
        <f t="shared" si="39"/>
        <v/>
      </c>
      <c r="AS79" s="20" t="str">
        <f t="shared" si="39"/>
        <v/>
      </c>
      <c r="AT79" s="20" t="str">
        <f t="shared" si="39"/>
        <v/>
      </c>
      <c r="AU79" s="20" t="str">
        <f t="shared" si="39"/>
        <v/>
      </c>
      <c r="AV79" s="20" t="str">
        <f t="shared" si="39"/>
        <v/>
      </c>
      <c r="AW79" s="20" t="str">
        <f t="shared" si="39"/>
        <v/>
      </c>
      <c r="AX79" s="20" t="str">
        <f t="shared" si="39"/>
        <v/>
      </c>
    </row>
    <row r="80" ht="39.75" customHeight="1">
      <c r="A80" s="13" t="str">
        <f>'Настройки'!B16</f>
        <v>Концепция 3</v>
      </c>
      <c r="B80" s="19" t="str">
        <f>IF(COUNT('Эксперт 1'!B76,'Эксперт 2'!B76,'Эксперт 3'!B76,'Эксперт 4'!B76)&lt;4,"",PRODUCT('Эксперт 1'!B76,'Эксперт 2'!B76,'Эксперт 3'!B76,'Эксперт 4'!B76)^(1/4))</f>
        <v/>
      </c>
      <c r="C80" s="19" t="str">
        <f>IF(COUNT('Эксперт 1'!C76,'Эксперт 2'!C76,'Эксперт 3'!C76,'Эксперт 4'!C76)&lt;4,"",PRODUCT('Эксперт 1'!C76,'Эксперт 2'!C76,'Эксперт 3'!C76,'Эксперт 4'!C76)^(1/4))</f>
        <v/>
      </c>
      <c r="D80" s="19">
        <f>IF(COUNT('Эксперт 1'!D76,'Эксперт 2'!D76,'Эксперт 3'!D76,'Эксперт 4'!D76)&lt;4,"",PRODUCT('Эксперт 1'!D76,'Эксперт 2'!D76,'Эксперт 3'!D76,'Эксперт 4'!D76)^(1/4))</f>
        <v>1</v>
      </c>
      <c r="E80" s="19" t="str">
        <f>IF(COUNT('Эксперт 1'!E76,'Эксперт 2'!E76,'Эксперт 3'!E76,'Эксперт 4'!E76)&lt;4,"",PRODUCT('Эксперт 1'!E76,'Эксперт 2'!E76,'Эксперт 3'!E76,'Эксперт 4'!E76)^(1/4))</f>
        <v/>
      </c>
      <c r="F80" s="19" t="str">
        <f t="shared" si="36"/>
        <v/>
      </c>
      <c r="G80" s="19" t="str">
        <f t="shared" si="37"/>
        <v/>
      </c>
      <c r="H80" s="20"/>
      <c r="I80" s="20"/>
      <c r="J80" s="20" t="str">
        <f t="shared" si="38"/>
        <v/>
      </c>
      <c r="K80" s="20" t="str">
        <f t="shared" ref="K80:AX80" si="40">IF(J80="","",($B80*J$78+$C80*J$79+$D80*J$80+$E80*J$81)/SUM(J$78:J$81))</f>
        <v/>
      </c>
      <c r="L80" s="20" t="str">
        <f t="shared" si="40"/>
        <v/>
      </c>
      <c r="M80" s="20" t="str">
        <f t="shared" si="40"/>
        <v/>
      </c>
      <c r="N80" s="20" t="str">
        <f t="shared" si="40"/>
        <v/>
      </c>
      <c r="O80" s="20" t="str">
        <f t="shared" si="40"/>
        <v/>
      </c>
      <c r="P80" s="20" t="str">
        <f t="shared" si="40"/>
        <v/>
      </c>
      <c r="Q80" s="20" t="str">
        <f t="shared" si="40"/>
        <v/>
      </c>
      <c r="R80" s="20" t="str">
        <f t="shared" si="40"/>
        <v/>
      </c>
      <c r="S80" s="20" t="str">
        <f t="shared" si="40"/>
        <v/>
      </c>
      <c r="T80" s="20" t="str">
        <f t="shared" si="40"/>
        <v/>
      </c>
      <c r="U80" s="20" t="str">
        <f t="shared" si="40"/>
        <v/>
      </c>
      <c r="V80" s="20" t="str">
        <f t="shared" si="40"/>
        <v/>
      </c>
      <c r="W80" s="20" t="str">
        <f t="shared" si="40"/>
        <v/>
      </c>
      <c r="X80" s="20" t="str">
        <f t="shared" si="40"/>
        <v/>
      </c>
      <c r="Y80" s="20" t="str">
        <f t="shared" si="40"/>
        <v/>
      </c>
      <c r="Z80" s="20" t="str">
        <f t="shared" si="40"/>
        <v/>
      </c>
      <c r="AA80" s="20" t="str">
        <f t="shared" si="40"/>
        <v/>
      </c>
      <c r="AB80" s="20" t="str">
        <f t="shared" si="40"/>
        <v/>
      </c>
      <c r="AC80" s="20" t="str">
        <f t="shared" si="40"/>
        <v/>
      </c>
      <c r="AD80" s="20" t="str">
        <f t="shared" si="40"/>
        <v/>
      </c>
      <c r="AE80" s="20" t="str">
        <f t="shared" si="40"/>
        <v/>
      </c>
      <c r="AF80" s="20" t="str">
        <f t="shared" si="40"/>
        <v/>
      </c>
      <c r="AG80" s="20" t="str">
        <f t="shared" si="40"/>
        <v/>
      </c>
      <c r="AH80" s="20" t="str">
        <f t="shared" si="40"/>
        <v/>
      </c>
      <c r="AI80" s="20" t="str">
        <f t="shared" si="40"/>
        <v/>
      </c>
      <c r="AJ80" s="20" t="str">
        <f t="shared" si="40"/>
        <v/>
      </c>
      <c r="AK80" s="20" t="str">
        <f t="shared" si="40"/>
        <v/>
      </c>
      <c r="AL80" s="20" t="str">
        <f t="shared" si="40"/>
        <v/>
      </c>
      <c r="AM80" s="20" t="str">
        <f t="shared" si="40"/>
        <v/>
      </c>
      <c r="AN80" s="20" t="str">
        <f t="shared" si="40"/>
        <v/>
      </c>
      <c r="AO80" s="20" t="str">
        <f t="shared" si="40"/>
        <v/>
      </c>
      <c r="AP80" s="20" t="str">
        <f t="shared" si="40"/>
        <v/>
      </c>
      <c r="AQ80" s="20" t="str">
        <f t="shared" si="40"/>
        <v/>
      </c>
      <c r="AR80" s="20" t="str">
        <f t="shared" si="40"/>
        <v/>
      </c>
      <c r="AS80" s="20" t="str">
        <f t="shared" si="40"/>
        <v/>
      </c>
      <c r="AT80" s="20" t="str">
        <f t="shared" si="40"/>
        <v/>
      </c>
      <c r="AU80" s="20" t="str">
        <f t="shared" si="40"/>
        <v/>
      </c>
      <c r="AV80" s="20" t="str">
        <f t="shared" si="40"/>
        <v/>
      </c>
      <c r="AW80" s="20" t="str">
        <f t="shared" si="40"/>
        <v/>
      </c>
      <c r="AX80" s="20" t="str">
        <f t="shared" si="40"/>
        <v/>
      </c>
    </row>
    <row r="81" ht="39.75" customHeight="1">
      <c r="A81" s="13" t="str">
        <f>'Настройки'!B17</f>
        <v>Концепция 4</v>
      </c>
      <c r="B81" s="19" t="str">
        <f>IF(COUNT('Эксперт 1'!B77,'Эксперт 2'!B77,'Эксперт 3'!B77,'Эксперт 4'!B77)&lt;4,"",PRODUCT('Эксперт 1'!B77,'Эксперт 2'!B77,'Эксперт 3'!B77,'Эксперт 4'!B77)^(1/4))</f>
        <v/>
      </c>
      <c r="C81" s="19" t="str">
        <f>IF(COUNT('Эксперт 1'!C77,'Эксперт 2'!C77,'Эксперт 3'!C77,'Эксперт 4'!C77)&lt;4,"",PRODUCT('Эксперт 1'!C77,'Эксперт 2'!C77,'Эксперт 3'!C77,'Эксперт 4'!C77)^(1/4))</f>
        <v/>
      </c>
      <c r="D81" s="19" t="str">
        <f>IF(COUNT('Эксперт 1'!D77,'Эксперт 2'!D77,'Эксперт 3'!D77,'Эксперт 4'!D77)&lt;4,"",PRODUCT('Эксперт 1'!D77,'Эксперт 2'!D77,'Эксперт 3'!D77,'Эксперт 4'!D77)^(1/4))</f>
        <v/>
      </c>
      <c r="E81" s="19">
        <f>IF(COUNT('Эксперт 1'!E77,'Эксперт 2'!E77,'Эксперт 3'!E77,'Эксперт 4'!E77)&lt;4,"",PRODUCT('Эксперт 1'!E77,'Эксперт 2'!E77,'Эксперт 3'!E77,'Эксперт 4'!E77)^(1/4))</f>
        <v>1</v>
      </c>
      <c r="F81" s="19" t="str">
        <f t="shared" si="36"/>
        <v/>
      </c>
      <c r="G81" s="19" t="str">
        <f t="shared" si="37"/>
        <v/>
      </c>
      <c r="H81" s="20"/>
      <c r="I81" s="20"/>
      <c r="J81" s="20" t="str">
        <f t="shared" si="38"/>
        <v/>
      </c>
      <c r="K81" s="20" t="str">
        <f t="shared" ref="K81:AX81" si="41">IF(J81="","",($B81*J$78+$C81*J$79+$D81*J$80+$E81*J$81)/SUM(J$78:J$81))</f>
        <v/>
      </c>
      <c r="L81" s="20" t="str">
        <f t="shared" si="41"/>
        <v/>
      </c>
      <c r="M81" s="20" t="str">
        <f t="shared" si="41"/>
        <v/>
      </c>
      <c r="N81" s="20" t="str">
        <f t="shared" si="41"/>
        <v/>
      </c>
      <c r="O81" s="20" t="str">
        <f t="shared" si="41"/>
        <v/>
      </c>
      <c r="P81" s="20" t="str">
        <f t="shared" si="41"/>
        <v/>
      </c>
      <c r="Q81" s="20" t="str">
        <f t="shared" si="41"/>
        <v/>
      </c>
      <c r="R81" s="20" t="str">
        <f t="shared" si="41"/>
        <v/>
      </c>
      <c r="S81" s="20" t="str">
        <f t="shared" si="41"/>
        <v/>
      </c>
      <c r="T81" s="20" t="str">
        <f t="shared" si="41"/>
        <v/>
      </c>
      <c r="U81" s="20" t="str">
        <f t="shared" si="41"/>
        <v/>
      </c>
      <c r="V81" s="20" t="str">
        <f t="shared" si="41"/>
        <v/>
      </c>
      <c r="W81" s="20" t="str">
        <f t="shared" si="41"/>
        <v/>
      </c>
      <c r="X81" s="20" t="str">
        <f t="shared" si="41"/>
        <v/>
      </c>
      <c r="Y81" s="20" t="str">
        <f t="shared" si="41"/>
        <v/>
      </c>
      <c r="Z81" s="20" t="str">
        <f t="shared" si="41"/>
        <v/>
      </c>
      <c r="AA81" s="20" t="str">
        <f t="shared" si="41"/>
        <v/>
      </c>
      <c r="AB81" s="20" t="str">
        <f t="shared" si="41"/>
        <v/>
      </c>
      <c r="AC81" s="20" t="str">
        <f t="shared" si="41"/>
        <v/>
      </c>
      <c r="AD81" s="20" t="str">
        <f t="shared" si="41"/>
        <v/>
      </c>
      <c r="AE81" s="20" t="str">
        <f t="shared" si="41"/>
        <v/>
      </c>
      <c r="AF81" s="20" t="str">
        <f t="shared" si="41"/>
        <v/>
      </c>
      <c r="AG81" s="20" t="str">
        <f t="shared" si="41"/>
        <v/>
      </c>
      <c r="AH81" s="20" t="str">
        <f t="shared" si="41"/>
        <v/>
      </c>
      <c r="AI81" s="20" t="str">
        <f t="shared" si="41"/>
        <v/>
      </c>
      <c r="AJ81" s="20" t="str">
        <f t="shared" si="41"/>
        <v/>
      </c>
      <c r="AK81" s="20" t="str">
        <f t="shared" si="41"/>
        <v/>
      </c>
      <c r="AL81" s="20" t="str">
        <f t="shared" si="41"/>
        <v/>
      </c>
      <c r="AM81" s="20" t="str">
        <f t="shared" si="41"/>
        <v/>
      </c>
      <c r="AN81" s="20" t="str">
        <f t="shared" si="41"/>
        <v/>
      </c>
      <c r="AO81" s="20" t="str">
        <f t="shared" si="41"/>
        <v/>
      </c>
      <c r="AP81" s="20" t="str">
        <f t="shared" si="41"/>
        <v/>
      </c>
      <c r="AQ81" s="20" t="str">
        <f t="shared" si="41"/>
        <v/>
      </c>
      <c r="AR81" s="20" t="str">
        <f t="shared" si="41"/>
        <v/>
      </c>
      <c r="AS81" s="20" t="str">
        <f t="shared" si="41"/>
        <v/>
      </c>
      <c r="AT81" s="20" t="str">
        <f t="shared" si="41"/>
        <v/>
      </c>
      <c r="AU81" s="20" t="str">
        <f t="shared" si="41"/>
        <v/>
      </c>
      <c r="AV81" s="20" t="str">
        <f t="shared" si="41"/>
        <v/>
      </c>
      <c r="AW81" s="20" t="str">
        <f t="shared" si="41"/>
        <v/>
      </c>
      <c r="AX81" s="20" t="str">
        <f t="shared" si="41"/>
        <v/>
      </c>
    </row>
    <row r="82" ht="22.5" customHeight="1">
      <c r="A82" s="1"/>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row>
    <row r="83" ht="22.5" customHeight="1">
      <c r="A83" s="1" t="s">
        <v>281</v>
      </c>
      <c r="B83" s="20" t="s">
        <v>282</v>
      </c>
      <c r="C83" s="20" t="s">
        <v>283</v>
      </c>
      <c r="D83" s="20" t="s">
        <v>284</v>
      </c>
      <c r="E83" s="20" t="s">
        <v>285</v>
      </c>
      <c r="F83" s="20" t="s">
        <v>286</v>
      </c>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row>
    <row r="84" ht="22.5" customHeight="1">
      <c r="A84" s="1"/>
      <c r="B84" s="20" t="str">
        <f>IF(COUNT(C84)=0,"",C84/'Настройки'!$B$32)</f>
        <v/>
      </c>
      <c r="C84" s="20" t="str">
        <f>IF(D84="","",MAX(0,(D84-4)/3))</f>
        <v/>
      </c>
      <c r="D84" s="20" t="str">
        <f>IF(COUNT(G78:G81)&lt;4,"",AVERAGE(G78:G81))</f>
        <v/>
      </c>
      <c r="E84" s="20" t="str">
        <f>IF(D84="","",SUM(F78:F81))</f>
        <v/>
      </c>
      <c r="F84" s="20" t="str">
        <f>IF(D84="","",MAX(ABS((G78-$D$84)*F78),ABS((G79-$D$84)*F79),ABS((G80-$D$84)*F80),ABS((G81-$D$84)*F81)))</f>
        <v/>
      </c>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row>
    <row r="85" ht="22.5" customHeight="1">
      <c r="A85" s="1"/>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row>
    <row r="86" ht="22.5" customHeight="1">
      <c r="A86" s="1" t="str">
        <f>IF(COUNT(B84)=0,"Нет оценок",IF(F84&gt;0.00000001,"Недостаточная сходимость",IF(B84&lt;='Настройки'!$B$31,"Согласовано","Пересмотреть сравнения")))</f>
        <v>Нет оценок</v>
      </c>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row>
    <row r="87" ht="22.5" customHeight="1">
      <c r="A87" s="1"/>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row>
    <row r="88" ht="22.5" customHeight="1">
      <c r="A88" s="1"/>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row>
    <row r="89" ht="22.5" customHeight="1">
      <c r="A89" s="1"/>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row>
    <row r="90" ht="22.5" customHeight="1">
      <c r="A90" s="1" t="s">
        <v>298</v>
      </c>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row>
    <row r="91" ht="54.0" customHeight="1">
      <c r="A91" s="3" t="s">
        <v>279</v>
      </c>
      <c r="B91" s="21" t="str">
        <f>'Настройки'!B21</f>
        <v>Практическая полезность</v>
      </c>
      <c r="C91" s="21" t="str">
        <f>'Настройки'!B22</f>
        <v>Простота реализации</v>
      </c>
      <c r="D91" s="21" t="str">
        <f>'Настройки'!B23</f>
        <v>Удобство оценки и планирования</v>
      </c>
      <c r="E91" s="21" t="str">
        <f>'Настройки'!B24</f>
        <v>Интерес команды</v>
      </c>
      <c r="F91" s="21" t="s">
        <v>274</v>
      </c>
      <c r="G91" s="21" t="s">
        <v>280</v>
      </c>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row>
    <row r="92" ht="39.75" customHeight="1">
      <c r="A92" s="13" t="str">
        <f>'Настройки'!B21</f>
        <v>Практическая полезность</v>
      </c>
      <c r="B92" s="19">
        <f>IF(COUNT('Эксперт 1'!B26)=0,"",'Эксперт 1'!B26)</f>
        <v>1</v>
      </c>
      <c r="C92" s="19" t="str">
        <f>IF(COUNT('Эксперт 1'!C26)=0,"",'Эксперт 1'!C26)</f>
        <v/>
      </c>
      <c r="D92" s="19" t="str">
        <f>IF(COUNT('Эксперт 1'!D26)=0,"",'Эксперт 1'!D26)</f>
        <v/>
      </c>
      <c r="E92" s="19" t="str">
        <f>IF(COUNT('Эксперт 1'!E26)=0,"",'Эксперт 1'!E26)</f>
        <v/>
      </c>
      <c r="F92" s="19" t="str">
        <f t="shared" ref="F92:F95" si="43">IF(AX92="","",AX92/SUM(AX$92:AX$95))</f>
        <v/>
      </c>
      <c r="G92" s="19" t="str">
        <f t="shared" ref="G92:G95" si="44">IF(F92="","",(B92*$F$92+C92*$F$93+D92*$F$94+E92*$F$95)/F92)</f>
        <v/>
      </c>
      <c r="H92" s="20"/>
      <c r="I92" s="20"/>
      <c r="J92" s="20" t="str">
        <f t="shared" ref="J92:J95" si="45">IF(COUNT($B$92:$E$95)&lt;16,"",1/4)</f>
        <v/>
      </c>
      <c r="K92" s="20" t="str">
        <f t="shared" ref="K92:AX92" si="42">IF(J92="","",($B92*J$92+$C92*J$93+$D92*J$94+$E92*J$95)/SUM(J$92:J$95))</f>
        <v/>
      </c>
      <c r="L92" s="20" t="str">
        <f t="shared" si="42"/>
        <v/>
      </c>
      <c r="M92" s="20" t="str">
        <f t="shared" si="42"/>
        <v/>
      </c>
      <c r="N92" s="20" t="str">
        <f t="shared" si="42"/>
        <v/>
      </c>
      <c r="O92" s="20" t="str">
        <f t="shared" si="42"/>
        <v/>
      </c>
      <c r="P92" s="20" t="str">
        <f t="shared" si="42"/>
        <v/>
      </c>
      <c r="Q92" s="20" t="str">
        <f t="shared" si="42"/>
        <v/>
      </c>
      <c r="R92" s="20" t="str">
        <f t="shared" si="42"/>
        <v/>
      </c>
      <c r="S92" s="20" t="str">
        <f t="shared" si="42"/>
        <v/>
      </c>
      <c r="T92" s="20" t="str">
        <f t="shared" si="42"/>
        <v/>
      </c>
      <c r="U92" s="20" t="str">
        <f t="shared" si="42"/>
        <v/>
      </c>
      <c r="V92" s="20" t="str">
        <f t="shared" si="42"/>
        <v/>
      </c>
      <c r="W92" s="20" t="str">
        <f t="shared" si="42"/>
        <v/>
      </c>
      <c r="X92" s="20" t="str">
        <f t="shared" si="42"/>
        <v/>
      </c>
      <c r="Y92" s="20" t="str">
        <f t="shared" si="42"/>
        <v/>
      </c>
      <c r="Z92" s="20" t="str">
        <f t="shared" si="42"/>
        <v/>
      </c>
      <c r="AA92" s="20" t="str">
        <f t="shared" si="42"/>
        <v/>
      </c>
      <c r="AB92" s="20" t="str">
        <f t="shared" si="42"/>
        <v/>
      </c>
      <c r="AC92" s="20" t="str">
        <f t="shared" si="42"/>
        <v/>
      </c>
      <c r="AD92" s="20" t="str">
        <f t="shared" si="42"/>
        <v/>
      </c>
      <c r="AE92" s="20" t="str">
        <f t="shared" si="42"/>
        <v/>
      </c>
      <c r="AF92" s="20" t="str">
        <f t="shared" si="42"/>
        <v/>
      </c>
      <c r="AG92" s="20" t="str">
        <f t="shared" si="42"/>
        <v/>
      </c>
      <c r="AH92" s="20" t="str">
        <f t="shared" si="42"/>
        <v/>
      </c>
      <c r="AI92" s="20" t="str">
        <f t="shared" si="42"/>
        <v/>
      </c>
      <c r="AJ92" s="20" t="str">
        <f t="shared" si="42"/>
        <v/>
      </c>
      <c r="AK92" s="20" t="str">
        <f t="shared" si="42"/>
        <v/>
      </c>
      <c r="AL92" s="20" t="str">
        <f t="shared" si="42"/>
        <v/>
      </c>
      <c r="AM92" s="20" t="str">
        <f t="shared" si="42"/>
        <v/>
      </c>
      <c r="AN92" s="20" t="str">
        <f t="shared" si="42"/>
        <v/>
      </c>
      <c r="AO92" s="20" t="str">
        <f t="shared" si="42"/>
        <v/>
      </c>
      <c r="AP92" s="20" t="str">
        <f t="shared" si="42"/>
        <v/>
      </c>
      <c r="AQ92" s="20" t="str">
        <f t="shared" si="42"/>
        <v/>
      </c>
      <c r="AR92" s="20" t="str">
        <f t="shared" si="42"/>
        <v/>
      </c>
      <c r="AS92" s="20" t="str">
        <f t="shared" si="42"/>
        <v/>
      </c>
      <c r="AT92" s="20" t="str">
        <f t="shared" si="42"/>
        <v/>
      </c>
      <c r="AU92" s="20" t="str">
        <f t="shared" si="42"/>
        <v/>
      </c>
      <c r="AV92" s="20" t="str">
        <f t="shared" si="42"/>
        <v/>
      </c>
      <c r="AW92" s="20" t="str">
        <f t="shared" si="42"/>
        <v/>
      </c>
      <c r="AX92" s="20" t="str">
        <f t="shared" si="42"/>
        <v/>
      </c>
    </row>
    <row r="93" ht="39.75" customHeight="1">
      <c r="A93" s="13" t="str">
        <f>'Настройки'!B22</f>
        <v>Простота реализации</v>
      </c>
      <c r="B93" s="19" t="str">
        <f>IF(COUNT('Эксперт 1'!B27)=0,"",'Эксперт 1'!B27)</f>
        <v/>
      </c>
      <c r="C93" s="19">
        <f>IF(COUNT('Эксперт 1'!C27)=0,"",'Эксперт 1'!C27)</f>
        <v>1</v>
      </c>
      <c r="D93" s="19" t="str">
        <f>IF(COUNT('Эксперт 1'!D27)=0,"",'Эксперт 1'!D27)</f>
        <v/>
      </c>
      <c r="E93" s="19" t="str">
        <f>IF(COUNT('Эксперт 1'!E27)=0,"",'Эксперт 1'!E27)</f>
        <v/>
      </c>
      <c r="F93" s="19" t="str">
        <f t="shared" si="43"/>
        <v/>
      </c>
      <c r="G93" s="19" t="str">
        <f t="shared" si="44"/>
        <v/>
      </c>
      <c r="H93" s="20"/>
      <c r="I93" s="20"/>
      <c r="J93" s="20" t="str">
        <f t="shared" si="45"/>
        <v/>
      </c>
      <c r="K93" s="20" t="str">
        <f t="shared" ref="K93:AX93" si="46">IF(J93="","",($B93*J$92+$C93*J$93+$D93*J$94+$E93*J$95)/SUM(J$92:J$95))</f>
        <v/>
      </c>
      <c r="L93" s="20" t="str">
        <f t="shared" si="46"/>
        <v/>
      </c>
      <c r="M93" s="20" t="str">
        <f t="shared" si="46"/>
        <v/>
      </c>
      <c r="N93" s="20" t="str">
        <f t="shared" si="46"/>
        <v/>
      </c>
      <c r="O93" s="20" t="str">
        <f t="shared" si="46"/>
        <v/>
      </c>
      <c r="P93" s="20" t="str">
        <f t="shared" si="46"/>
        <v/>
      </c>
      <c r="Q93" s="20" t="str">
        <f t="shared" si="46"/>
        <v/>
      </c>
      <c r="R93" s="20" t="str">
        <f t="shared" si="46"/>
        <v/>
      </c>
      <c r="S93" s="20" t="str">
        <f t="shared" si="46"/>
        <v/>
      </c>
      <c r="T93" s="20" t="str">
        <f t="shared" si="46"/>
        <v/>
      </c>
      <c r="U93" s="20" t="str">
        <f t="shared" si="46"/>
        <v/>
      </c>
      <c r="V93" s="20" t="str">
        <f t="shared" si="46"/>
        <v/>
      </c>
      <c r="W93" s="20" t="str">
        <f t="shared" si="46"/>
        <v/>
      </c>
      <c r="X93" s="20" t="str">
        <f t="shared" si="46"/>
        <v/>
      </c>
      <c r="Y93" s="20" t="str">
        <f t="shared" si="46"/>
        <v/>
      </c>
      <c r="Z93" s="20" t="str">
        <f t="shared" si="46"/>
        <v/>
      </c>
      <c r="AA93" s="20" t="str">
        <f t="shared" si="46"/>
        <v/>
      </c>
      <c r="AB93" s="20" t="str">
        <f t="shared" si="46"/>
        <v/>
      </c>
      <c r="AC93" s="20" t="str">
        <f t="shared" si="46"/>
        <v/>
      </c>
      <c r="AD93" s="20" t="str">
        <f t="shared" si="46"/>
        <v/>
      </c>
      <c r="AE93" s="20" t="str">
        <f t="shared" si="46"/>
        <v/>
      </c>
      <c r="AF93" s="20" t="str">
        <f t="shared" si="46"/>
        <v/>
      </c>
      <c r="AG93" s="20" t="str">
        <f t="shared" si="46"/>
        <v/>
      </c>
      <c r="AH93" s="20" t="str">
        <f t="shared" si="46"/>
        <v/>
      </c>
      <c r="AI93" s="20" t="str">
        <f t="shared" si="46"/>
        <v/>
      </c>
      <c r="AJ93" s="20" t="str">
        <f t="shared" si="46"/>
        <v/>
      </c>
      <c r="AK93" s="20" t="str">
        <f t="shared" si="46"/>
        <v/>
      </c>
      <c r="AL93" s="20" t="str">
        <f t="shared" si="46"/>
        <v/>
      </c>
      <c r="AM93" s="20" t="str">
        <f t="shared" si="46"/>
        <v/>
      </c>
      <c r="AN93" s="20" t="str">
        <f t="shared" si="46"/>
        <v/>
      </c>
      <c r="AO93" s="20" t="str">
        <f t="shared" si="46"/>
        <v/>
      </c>
      <c r="AP93" s="20" t="str">
        <f t="shared" si="46"/>
        <v/>
      </c>
      <c r="AQ93" s="20" t="str">
        <f t="shared" si="46"/>
        <v/>
      </c>
      <c r="AR93" s="20" t="str">
        <f t="shared" si="46"/>
        <v/>
      </c>
      <c r="AS93" s="20" t="str">
        <f t="shared" si="46"/>
        <v/>
      </c>
      <c r="AT93" s="20" t="str">
        <f t="shared" si="46"/>
        <v/>
      </c>
      <c r="AU93" s="20" t="str">
        <f t="shared" si="46"/>
        <v/>
      </c>
      <c r="AV93" s="20" t="str">
        <f t="shared" si="46"/>
        <v/>
      </c>
      <c r="AW93" s="20" t="str">
        <f t="shared" si="46"/>
        <v/>
      </c>
      <c r="AX93" s="20" t="str">
        <f t="shared" si="46"/>
        <v/>
      </c>
    </row>
    <row r="94" ht="39.75" customHeight="1">
      <c r="A94" s="13" t="str">
        <f>'Настройки'!B23</f>
        <v>Удобство оценки и планирования</v>
      </c>
      <c r="B94" s="19" t="str">
        <f>IF(COUNT('Эксперт 1'!B28)=0,"",'Эксперт 1'!B28)</f>
        <v/>
      </c>
      <c r="C94" s="19" t="str">
        <f>IF(COUNT('Эксперт 1'!C28)=0,"",'Эксперт 1'!C28)</f>
        <v/>
      </c>
      <c r="D94" s="19">
        <f>IF(COUNT('Эксперт 1'!D28)=0,"",'Эксперт 1'!D28)</f>
        <v>1</v>
      </c>
      <c r="E94" s="19" t="str">
        <f>IF(COUNT('Эксперт 1'!E28)=0,"",'Эксперт 1'!E28)</f>
        <v/>
      </c>
      <c r="F94" s="19" t="str">
        <f t="shared" si="43"/>
        <v/>
      </c>
      <c r="G94" s="19" t="str">
        <f t="shared" si="44"/>
        <v/>
      </c>
      <c r="H94" s="20"/>
      <c r="I94" s="20"/>
      <c r="J94" s="20" t="str">
        <f t="shared" si="45"/>
        <v/>
      </c>
      <c r="K94" s="20" t="str">
        <f t="shared" ref="K94:AX94" si="47">IF(J94="","",($B94*J$92+$C94*J$93+$D94*J$94+$E94*J$95)/SUM(J$92:J$95))</f>
        <v/>
      </c>
      <c r="L94" s="20" t="str">
        <f t="shared" si="47"/>
        <v/>
      </c>
      <c r="M94" s="20" t="str">
        <f t="shared" si="47"/>
        <v/>
      </c>
      <c r="N94" s="20" t="str">
        <f t="shared" si="47"/>
        <v/>
      </c>
      <c r="O94" s="20" t="str">
        <f t="shared" si="47"/>
        <v/>
      </c>
      <c r="P94" s="20" t="str">
        <f t="shared" si="47"/>
        <v/>
      </c>
      <c r="Q94" s="20" t="str">
        <f t="shared" si="47"/>
        <v/>
      </c>
      <c r="R94" s="20" t="str">
        <f t="shared" si="47"/>
        <v/>
      </c>
      <c r="S94" s="20" t="str">
        <f t="shared" si="47"/>
        <v/>
      </c>
      <c r="T94" s="20" t="str">
        <f t="shared" si="47"/>
        <v/>
      </c>
      <c r="U94" s="20" t="str">
        <f t="shared" si="47"/>
        <v/>
      </c>
      <c r="V94" s="20" t="str">
        <f t="shared" si="47"/>
        <v/>
      </c>
      <c r="W94" s="20" t="str">
        <f t="shared" si="47"/>
        <v/>
      </c>
      <c r="X94" s="20" t="str">
        <f t="shared" si="47"/>
        <v/>
      </c>
      <c r="Y94" s="20" t="str">
        <f t="shared" si="47"/>
        <v/>
      </c>
      <c r="Z94" s="20" t="str">
        <f t="shared" si="47"/>
        <v/>
      </c>
      <c r="AA94" s="20" t="str">
        <f t="shared" si="47"/>
        <v/>
      </c>
      <c r="AB94" s="20" t="str">
        <f t="shared" si="47"/>
        <v/>
      </c>
      <c r="AC94" s="20" t="str">
        <f t="shared" si="47"/>
        <v/>
      </c>
      <c r="AD94" s="20" t="str">
        <f t="shared" si="47"/>
        <v/>
      </c>
      <c r="AE94" s="20" t="str">
        <f t="shared" si="47"/>
        <v/>
      </c>
      <c r="AF94" s="20" t="str">
        <f t="shared" si="47"/>
        <v/>
      </c>
      <c r="AG94" s="20" t="str">
        <f t="shared" si="47"/>
        <v/>
      </c>
      <c r="AH94" s="20" t="str">
        <f t="shared" si="47"/>
        <v/>
      </c>
      <c r="AI94" s="20" t="str">
        <f t="shared" si="47"/>
        <v/>
      </c>
      <c r="AJ94" s="20" t="str">
        <f t="shared" si="47"/>
        <v/>
      </c>
      <c r="AK94" s="20" t="str">
        <f t="shared" si="47"/>
        <v/>
      </c>
      <c r="AL94" s="20" t="str">
        <f t="shared" si="47"/>
        <v/>
      </c>
      <c r="AM94" s="20" t="str">
        <f t="shared" si="47"/>
        <v/>
      </c>
      <c r="AN94" s="20" t="str">
        <f t="shared" si="47"/>
        <v/>
      </c>
      <c r="AO94" s="20" t="str">
        <f t="shared" si="47"/>
        <v/>
      </c>
      <c r="AP94" s="20" t="str">
        <f t="shared" si="47"/>
        <v/>
      </c>
      <c r="AQ94" s="20" t="str">
        <f t="shared" si="47"/>
        <v/>
      </c>
      <c r="AR94" s="20" t="str">
        <f t="shared" si="47"/>
        <v/>
      </c>
      <c r="AS94" s="20" t="str">
        <f t="shared" si="47"/>
        <v/>
      </c>
      <c r="AT94" s="20" t="str">
        <f t="shared" si="47"/>
        <v/>
      </c>
      <c r="AU94" s="20" t="str">
        <f t="shared" si="47"/>
        <v/>
      </c>
      <c r="AV94" s="20" t="str">
        <f t="shared" si="47"/>
        <v/>
      </c>
      <c r="AW94" s="20" t="str">
        <f t="shared" si="47"/>
        <v/>
      </c>
      <c r="AX94" s="20" t="str">
        <f t="shared" si="47"/>
        <v/>
      </c>
    </row>
    <row r="95" ht="39.75" customHeight="1">
      <c r="A95" s="13" t="str">
        <f>'Настройки'!B24</f>
        <v>Интерес команды</v>
      </c>
      <c r="B95" s="19" t="str">
        <f>IF(COUNT('Эксперт 1'!B29)=0,"",'Эксперт 1'!B29)</f>
        <v/>
      </c>
      <c r="C95" s="19" t="str">
        <f>IF(COUNT('Эксперт 1'!C29)=0,"",'Эксперт 1'!C29)</f>
        <v/>
      </c>
      <c r="D95" s="19" t="str">
        <f>IF(COUNT('Эксперт 1'!D29)=0,"",'Эксперт 1'!D29)</f>
        <v/>
      </c>
      <c r="E95" s="19">
        <f>IF(COUNT('Эксперт 1'!E29)=0,"",'Эксперт 1'!E29)</f>
        <v>1</v>
      </c>
      <c r="F95" s="19" t="str">
        <f t="shared" si="43"/>
        <v/>
      </c>
      <c r="G95" s="19" t="str">
        <f t="shared" si="44"/>
        <v/>
      </c>
      <c r="H95" s="20"/>
      <c r="I95" s="20"/>
      <c r="J95" s="20" t="str">
        <f t="shared" si="45"/>
        <v/>
      </c>
      <c r="K95" s="20" t="str">
        <f t="shared" ref="K95:AX95" si="48">IF(J95="","",($B95*J$92+$C95*J$93+$D95*J$94+$E95*J$95)/SUM(J$92:J$95))</f>
        <v/>
      </c>
      <c r="L95" s="20" t="str">
        <f t="shared" si="48"/>
        <v/>
      </c>
      <c r="M95" s="20" t="str">
        <f t="shared" si="48"/>
        <v/>
      </c>
      <c r="N95" s="20" t="str">
        <f t="shared" si="48"/>
        <v/>
      </c>
      <c r="O95" s="20" t="str">
        <f t="shared" si="48"/>
        <v/>
      </c>
      <c r="P95" s="20" t="str">
        <f t="shared" si="48"/>
        <v/>
      </c>
      <c r="Q95" s="20" t="str">
        <f t="shared" si="48"/>
        <v/>
      </c>
      <c r="R95" s="20" t="str">
        <f t="shared" si="48"/>
        <v/>
      </c>
      <c r="S95" s="20" t="str">
        <f t="shared" si="48"/>
        <v/>
      </c>
      <c r="T95" s="20" t="str">
        <f t="shared" si="48"/>
        <v/>
      </c>
      <c r="U95" s="20" t="str">
        <f t="shared" si="48"/>
        <v/>
      </c>
      <c r="V95" s="20" t="str">
        <f t="shared" si="48"/>
        <v/>
      </c>
      <c r="W95" s="20" t="str">
        <f t="shared" si="48"/>
        <v/>
      </c>
      <c r="X95" s="20" t="str">
        <f t="shared" si="48"/>
        <v/>
      </c>
      <c r="Y95" s="20" t="str">
        <f t="shared" si="48"/>
        <v/>
      </c>
      <c r="Z95" s="20" t="str">
        <f t="shared" si="48"/>
        <v/>
      </c>
      <c r="AA95" s="20" t="str">
        <f t="shared" si="48"/>
        <v/>
      </c>
      <c r="AB95" s="20" t="str">
        <f t="shared" si="48"/>
        <v/>
      </c>
      <c r="AC95" s="20" t="str">
        <f t="shared" si="48"/>
        <v/>
      </c>
      <c r="AD95" s="20" t="str">
        <f t="shared" si="48"/>
        <v/>
      </c>
      <c r="AE95" s="20" t="str">
        <f t="shared" si="48"/>
        <v/>
      </c>
      <c r="AF95" s="20" t="str">
        <f t="shared" si="48"/>
        <v/>
      </c>
      <c r="AG95" s="20" t="str">
        <f t="shared" si="48"/>
        <v/>
      </c>
      <c r="AH95" s="20" t="str">
        <f t="shared" si="48"/>
        <v/>
      </c>
      <c r="AI95" s="20" t="str">
        <f t="shared" si="48"/>
        <v/>
      </c>
      <c r="AJ95" s="20" t="str">
        <f t="shared" si="48"/>
        <v/>
      </c>
      <c r="AK95" s="20" t="str">
        <f t="shared" si="48"/>
        <v/>
      </c>
      <c r="AL95" s="20" t="str">
        <f t="shared" si="48"/>
        <v/>
      </c>
      <c r="AM95" s="20" t="str">
        <f t="shared" si="48"/>
        <v/>
      </c>
      <c r="AN95" s="20" t="str">
        <f t="shared" si="48"/>
        <v/>
      </c>
      <c r="AO95" s="20" t="str">
        <f t="shared" si="48"/>
        <v/>
      </c>
      <c r="AP95" s="20" t="str">
        <f t="shared" si="48"/>
        <v/>
      </c>
      <c r="AQ95" s="20" t="str">
        <f t="shared" si="48"/>
        <v/>
      </c>
      <c r="AR95" s="20" t="str">
        <f t="shared" si="48"/>
        <v/>
      </c>
      <c r="AS95" s="20" t="str">
        <f t="shared" si="48"/>
        <v/>
      </c>
      <c r="AT95" s="20" t="str">
        <f t="shared" si="48"/>
        <v/>
      </c>
      <c r="AU95" s="20" t="str">
        <f t="shared" si="48"/>
        <v/>
      </c>
      <c r="AV95" s="20" t="str">
        <f t="shared" si="48"/>
        <v/>
      </c>
      <c r="AW95" s="20" t="str">
        <f t="shared" si="48"/>
        <v/>
      </c>
      <c r="AX95" s="20" t="str">
        <f t="shared" si="48"/>
        <v/>
      </c>
    </row>
    <row r="96" ht="22.5" customHeight="1">
      <c r="A96" s="1"/>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row>
    <row r="97" ht="22.5" customHeight="1">
      <c r="A97" s="1" t="s">
        <v>281</v>
      </c>
      <c r="B97" s="20" t="s">
        <v>282</v>
      </c>
      <c r="C97" s="20" t="s">
        <v>283</v>
      </c>
      <c r="D97" s="20" t="s">
        <v>284</v>
      </c>
      <c r="E97" s="20" t="s">
        <v>285</v>
      </c>
      <c r="F97" s="20" t="s">
        <v>286</v>
      </c>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row>
    <row r="98" ht="22.5" customHeight="1">
      <c r="A98" s="1"/>
      <c r="B98" s="20" t="str">
        <f>IF(COUNT(C98)=0,"",C98/'Настройки'!$B$32)</f>
        <v/>
      </c>
      <c r="C98" s="20" t="str">
        <f>IF(D98="","",MAX(0,(D98-4)/3))</f>
        <v/>
      </c>
      <c r="D98" s="20" t="str">
        <f>IF(COUNT(G92:G95)&lt;4,"",AVERAGE(G92:G95))</f>
        <v/>
      </c>
      <c r="E98" s="20" t="str">
        <f>IF(D98="","",SUM(F92:F95))</f>
        <v/>
      </c>
      <c r="F98" s="20" t="str">
        <f>IF(D98="","",MAX(ABS((G92-$D$98)*F92),ABS((G93-$D$98)*F93),ABS((G94-$D$98)*F94),ABS((G95-$D$98)*F95)))</f>
        <v/>
      </c>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row>
    <row r="99" ht="22.5" customHeight="1">
      <c r="A99" s="1"/>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row>
    <row r="100" ht="22.5" customHeight="1">
      <c r="A100" s="1" t="str">
        <f>IF(COUNT(B98)=0,"Нет оценок",IF(F98&gt;0.00000001,"Недостаточная сходимость",IF(B98&lt;='Настройки'!$B$31,"Согласовано","Пересмотреть сравнения")))</f>
        <v>Нет оценок</v>
      </c>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row>
    <row r="101" ht="22.5" customHeight="1">
      <c r="A101" s="1"/>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row>
    <row r="102" ht="22.5" customHeight="1">
      <c r="A102" s="1"/>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row>
    <row r="103" ht="22.5" customHeight="1">
      <c r="A103" s="1"/>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row>
    <row r="104" ht="22.5" customHeight="1">
      <c r="A104" s="1" t="s">
        <v>299</v>
      </c>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row>
    <row r="105" ht="54.0" customHeight="1">
      <c r="A105" s="3" t="s">
        <v>279</v>
      </c>
      <c r="B105" s="21" t="str">
        <f>'Настройки'!B14</f>
        <v>Детейлинг-центр</v>
      </c>
      <c r="C105" s="21" t="str">
        <f>'Настройки'!B15</f>
        <v>Планировщик покупок</v>
      </c>
      <c r="D105" s="21" t="str">
        <f>'Настройки'!B16</f>
        <v>Концепция 3</v>
      </c>
      <c r="E105" s="21" t="str">
        <f>'Настройки'!B17</f>
        <v>Концепция 4</v>
      </c>
      <c r="F105" s="21" t="s">
        <v>274</v>
      </c>
      <c r="G105" s="21" t="s">
        <v>280</v>
      </c>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row>
    <row r="106" ht="39.75" customHeight="1">
      <c r="A106" s="13" t="str">
        <f>'Настройки'!B14</f>
        <v>Детейлинг-центр</v>
      </c>
      <c r="B106" s="19">
        <f>IF(COUNT('Эксперт 1'!B38)=0,"",'Эксперт 1'!B38)</f>
        <v>1</v>
      </c>
      <c r="C106" s="19" t="str">
        <f>IF(COUNT('Эксперт 1'!C38)=0,"",'Эксперт 1'!C38)</f>
        <v/>
      </c>
      <c r="D106" s="19" t="str">
        <f>IF(COUNT('Эксперт 1'!D38)=0,"",'Эксперт 1'!D38)</f>
        <v/>
      </c>
      <c r="E106" s="19" t="str">
        <f>IF(COUNT('Эксперт 1'!E38)=0,"",'Эксперт 1'!E38)</f>
        <v/>
      </c>
      <c r="F106" s="19" t="str">
        <f t="shared" ref="F106:F109" si="50">IF(AX106="","",AX106/SUM(AX$106:AX$109))</f>
        <v/>
      </c>
      <c r="G106" s="19" t="str">
        <f t="shared" ref="G106:G109" si="51">IF(F106="","",(B106*$F$106+C106*$F$107+D106*$F$108+E106*$F$109)/F106)</f>
        <v/>
      </c>
      <c r="H106" s="20"/>
      <c r="I106" s="20"/>
      <c r="J106" s="20" t="str">
        <f t="shared" ref="J106:J109" si="52">IF(COUNT($B$106:$E$109)&lt;16,"",1/4)</f>
        <v/>
      </c>
      <c r="K106" s="20" t="str">
        <f t="shared" ref="K106:AX106" si="49">IF(J106="","",($B106*J$106+$C106*J$107+$D106*J$108+$E106*J$109)/SUM(J$106:J$109))</f>
        <v/>
      </c>
      <c r="L106" s="20" t="str">
        <f t="shared" si="49"/>
        <v/>
      </c>
      <c r="M106" s="20" t="str">
        <f t="shared" si="49"/>
        <v/>
      </c>
      <c r="N106" s="20" t="str">
        <f t="shared" si="49"/>
        <v/>
      </c>
      <c r="O106" s="20" t="str">
        <f t="shared" si="49"/>
        <v/>
      </c>
      <c r="P106" s="20" t="str">
        <f t="shared" si="49"/>
        <v/>
      </c>
      <c r="Q106" s="20" t="str">
        <f t="shared" si="49"/>
        <v/>
      </c>
      <c r="R106" s="20" t="str">
        <f t="shared" si="49"/>
        <v/>
      </c>
      <c r="S106" s="20" t="str">
        <f t="shared" si="49"/>
        <v/>
      </c>
      <c r="T106" s="20" t="str">
        <f t="shared" si="49"/>
        <v/>
      </c>
      <c r="U106" s="20" t="str">
        <f t="shared" si="49"/>
        <v/>
      </c>
      <c r="V106" s="20" t="str">
        <f t="shared" si="49"/>
        <v/>
      </c>
      <c r="W106" s="20" t="str">
        <f t="shared" si="49"/>
        <v/>
      </c>
      <c r="X106" s="20" t="str">
        <f t="shared" si="49"/>
        <v/>
      </c>
      <c r="Y106" s="20" t="str">
        <f t="shared" si="49"/>
        <v/>
      </c>
      <c r="Z106" s="20" t="str">
        <f t="shared" si="49"/>
        <v/>
      </c>
      <c r="AA106" s="20" t="str">
        <f t="shared" si="49"/>
        <v/>
      </c>
      <c r="AB106" s="20" t="str">
        <f t="shared" si="49"/>
        <v/>
      </c>
      <c r="AC106" s="20" t="str">
        <f t="shared" si="49"/>
        <v/>
      </c>
      <c r="AD106" s="20" t="str">
        <f t="shared" si="49"/>
        <v/>
      </c>
      <c r="AE106" s="20" t="str">
        <f t="shared" si="49"/>
        <v/>
      </c>
      <c r="AF106" s="20" t="str">
        <f t="shared" si="49"/>
        <v/>
      </c>
      <c r="AG106" s="20" t="str">
        <f t="shared" si="49"/>
        <v/>
      </c>
      <c r="AH106" s="20" t="str">
        <f t="shared" si="49"/>
        <v/>
      </c>
      <c r="AI106" s="20" t="str">
        <f t="shared" si="49"/>
        <v/>
      </c>
      <c r="AJ106" s="20" t="str">
        <f t="shared" si="49"/>
        <v/>
      </c>
      <c r="AK106" s="20" t="str">
        <f t="shared" si="49"/>
        <v/>
      </c>
      <c r="AL106" s="20" t="str">
        <f t="shared" si="49"/>
        <v/>
      </c>
      <c r="AM106" s="20" t="str">
        <f t="shared" si="49"/>
        <v/>
      </c>
      <c r="AN106" s="20" t="str">
        <f t="shared" si="49"/>
        <v/>
      </c>
      <c r="AO106" s="20" t="str">
        <f t="shared" si="49"/>
        <v/>
      </c>
      <c r="AP106" s="20" t="str">
        <f t="shared" si="49"/>
        <v/>
      </c>
      <c r="AQ106" s="20" t="str">
        <f t="shared" si="49"/>
        <v/>
      </c>
      <c r="AR106" s="20" t="str">
        <f t="shared" si="49"/>
        <v/>
      </c>
      <c r="AS106" s="20" t="str">
        <f t="shared" si="49"/>
        <v/>
      </c>
      <c r="AT106" s="20" t="str">
        <f t="shared" si="49"/>
        <v/>
      </c>
      <c r="AU106" s="20" t="str">
        <f t="shared" si="49"/>
        <v/>
      </c>
      <c r="AV106" s="20" t="str">
        <f t="shared" si="49"/>
        <v/>
      </c>
      <c r="AW106" s="20" t="str">
        <f t="shared" si="49"/>
        <v/>
      </c>
      <c r="AX106" s="20" t="str">
        <f t="shared" si="49"/>
        <v/>
      </c>
    </row>
    <row r="107" ht="39.75" customHeight="1">
      <c r="A107" s="13" t="str">
        <f>'Настройки'!B15</f>
        <v>Планировщик покупок</v>
      </c>
      <c r="B107" s="19" t="str">
        <f>IF(COUNT('Эксперт 1'!B39)=0,"",'Эксперт 1'!B39)</f>
        <v/>
      </c>
      <c r="C107" s="19">
        <f>IF(COUNT('Эксперт 1'!C39)=0,"",'Эксперт 1'!C39)</f>
        <v>1</v>
      </c>
      <c r="D107" s="19" t="str">
        <f>IF(COUNT('Эксперт 1'!D39)=0,"",'Эксперт 1'!D39)</f>
        <v/>
      </c>
      <c r="E107" s="19" t="str">
        <f>IF(COUNT('Эксперт 1'!E39)=0,"",'Эксперт 1'!E39)</f>
        <v/>
      </c>
      <c r="F107" s="19" t="str">
        <f t="shared" si="50"/>
        <v/>
      </c>
      <c r="G107" s="19" t="str">
        <f t="shared" si="51"/>
        <v/>
      </c>
      <c r="H107" s="20"/>
      <c r="I107" s="20"/>
      <c r="J107" s="20" t="str">
        <f t="shared" si="52"/>
        <v/>
      </c>
      <c r="K107" s="20" t="str">
        <f t="shared" ref="K107:AX107" si="53">IF(J107="","",($B107*J$106+$C107*J$107+$D107*J$108+$E107*J$109)/SUM(J$106:J$109))</f>
        <v/>
      </c>
      <c r="L107" s="20" t="str">
        <f t="shared" si="53"/>
        <v/>
      </c>
      <c r="M107" s="20" t="str">
        <f t="shared" si="53"/>
        <v/>
      </c>
      <c r="N107" s="20" t="str">
        <f t="shared" si="53"/>
        <v/>
      </c>
      <c r="O107" s="20" t="str">
        <f t="shared" si="53"/>
        <v/>
      </c>
      <c r="P107" s="20" t="str">
        <f t="shared" si="53"/>
        <v/>
      </c>
      <c r="Q107" s="20" t="str">
        <f t="shared" si="53"/>
        <v/>
      </c>
      <c r="R107" s="20" t="str">
        <f t="shared" si="53"/>
        <v/>
      </c>
      <c r="S107" s="20" t="str">
        <f t="shared" si="53"/>
        <v/>
      </c>
      <c r="T107" s="20" t="str">
        <f t="shared" si="53"/>
        <v/>
      </c>
      <c r="U107" s="20" t="str">
        <f t="shared" si="53"/>
        <v/>
      </c>
      <c r="V107" s="20" t="str">
        <f t="shared" si="53"/>
        <v/>
      </c>
      <c r="W107" s="20" t="str">
        <f t="shared" si="53"/>
        <v/>
      </c>
      <c r="X107" s="20" t="str">
        <f t="shared" si="53"/>
        <v/>
      </c>
      <c r="Y107" s="20" t="str">
        <f t="shared" si="53"/>
        <v/>
      </c>
      <c r="Z107" s="20" t="str">
        <f t="shared" si="53"/>
        <v/>
      </c>
      <c r="AA107" s="20" t="str">
        <f t="shared" si="53"/>
        <v/>
      </c>
      <c r="AB107" s="20" t="str">
        <f t="shared" si="53"/>
        <v/>
      </c>
      <c r="AC107" s="20" t="str">
        <f t="shared" si="53"/>
        <v/>
      </c>
      <c r="AD107" s="20" t="str">
        <f t="shared" si="53"/>
        <v/>
      </c>
      <c r="AE107" s="20" t="str">
        <f t="shared" si="53"/>
        <v/>
      </c>
      <c r="AF107" s="20" t="str">
        <f t="shared" si="53"/>
        <v/>
      </c>
      <c r="AG107" s="20" t="str">
        <f t="shared" si="53"/>
        <v/>
      </c>
      <c r="AH107" s="20" t="str">
        <f t="shared" si="53"/>
        <v/>
      </c>
      <c r="AI107" s="20" t="str">
        <f t="shared" si="53"/>
        <v/>
      </c>
      <c r="AJ107" s="20" t="str">
        <f t="shared" si="53"/>
        <v/>
      </c>
      <c r="AK107" s="20" t="str">
        <f t="shared" si="53"/>
        <v/>
      </c>
      <c r="AL107" s="20" t="str">
        <f t="shared" si="53"/>
        <v/>
      </c>
      <c r="AM107" s="20" t="str">
        <f t="shared" si="53"/>
        <v/>
      </c>
      <c r="AN107" s="20" t="str">
        <f t="shared" si="53"/>
        <v/>
      </c>
      <c r="AO107" s="20" t="str">
        <f t="shared" si="53"/>
        <v/>
      </c>
      <c r="AP107" s="20" t="str">
        <f t="shared" si="53"/>
        <v/>
      </c>
      <c r="AQ107" s="20" t="str">
        <f t="shared" si="53"/>
        <v/>
      </c>
      <c r="AR107" s="20" t="str">
        <f t="shared" si="53"/>
        <v/>
      </c>
      <c r="AS107" s="20" t="str">
        <f t="shared" si="53"/>
        <v/>
      </c>
      <c r="AT107" s="20" t="str">
        <f t="shared" si="53"/>
        <v/>
      </c>
      <c r="AU107" s="20" t="str">
        <f t="shared" si="53"/>
        <v/>
      </c>
      <c r="AV107" s="20" t="str">
        <f t="shared" si="53"/>
        <v/>
      </c>
      <c r="AW107" s="20" t="str">
        <f t="shared" si="53"/>
        <v/>
      </c>
      <c r="AX107" s="20" t="str">
        <f t="shared" si="53"/>
        <v/>
      </c>
    </row>
    <row r="108" ht="39.75" customHeight="1">
      <c r="A108" s="13" t="str">
        <f>'Настройки'!B16</f>
        <v>Концепция 3</v>
      </c>
      <c r="B108" s="19" t="str">
        <f>IF(COUNT('Эксперт 1'!B40)=0,"",'Эксперт 1'!B40)</f>
        <v/>
      </c>
      <c r="C108" s="19" t="str">
        <f>IF(COUNT('Эксперт 1'!C40)=0,"",'Эксперт 1'!C40)</f>
        <v/>
      </c>
      <c r="D108" s="19">
        <f>IF(COUNT('Эксперт 1'!D40)=0,"",'Эксперт 1'!D40)</f>
        <v>1</v>
      </c>
      <c r="E108" s="19" t="str">
        <f>IF(COUNT('Эксперт 1'!E40)=0,"",'Эксперт 1'!E40)</f>
        <v/>
      </c>
      <c r="F108" s="19" t="str">
        <f t="shared" si="50"/>
        <v/>
      </c>
      <c r="G108" s="19" t="str">
        <f t="shared" si="51"/>
        <v/>
      </c>
      <c r="H108" s="20"/>
      <c r="I108" s="20"/>
      <c r="J108" s="20" t="str">
        <f t="shared" si="52"/>
        <v/>
      </c>
      <c r="K108" s="20" t="str">
        <f t="shared" ref="K108:AX108" si="54">IF(J108="","",($B108*J$106+$C108*J$107+$D108*J$108+$E108*J$109)/SUM(J$106:J$109))</f>
        <v/>
      </c>
      <c r="L108" s="20" t="str">
        <f t="shared" si="54"/>
        <v/>
      </c>
      <c r="M108" s="20" t="str">
        <f t="shared" si="54"/>
        <v/>
      </c>
      <c r="N108" s="20" t="str">
        <f t="shared" si="54"/>
        <v/>
      </c>
      <c r="O108" s="20" t="str">
        <f t="shared" si="54"/>
        <v/>
      </c>
      <c r="P108" s="20" t="str">
        <f t="shared" si="54"/>
        <v/>
      </c>
      <c r="Q108" s="20" t="str">
        <f t="shared" si="54"/>
        <v/>
      </c>
      <c r="R108" s="20" t="str">
        <f t="shared" si="54"/>
        <v/>
      </c>
      <c r="S108" s="20" t="str">
        <f t="shared" si="54"/>
        <v/>
      </c>
      <c r="T108" s="20" t="str">
        <f t="shared" si="54"/>
        <v/>
      </c>
      <c r="U108" s="20" t="str">
        <f t="shared" si="54"/>
        <v/>
      </c>
      <c r="V108" s="20" t="str">
        <f t="shared" si="54"/>
        <v/>
      </c>
      <c r="W108" s="20" t="str">
        <f t="shared" si="54"/>
        <v/>
      </c>
      <c r="X108" s="20" t="str">
        <f t="shared" si="54"/>
        <v/>
      </c>
      <c r="Y108" s="20" t="str">
        <f t="shared" si="54"/>
        <v/>
      </c>
      <c r="Z108" s="20" t="str">
        <f t="shared" si="54"/>
        <v/>
      </c>
      <c r="AA108" s="20" t="str">
        <f t="shared" si="54"/>
        <v/>
      </c>
      <c r="AB108" s="20" t="str">
        <f t="shared" si="54"/>
        <v/>
      </c>
      <c r="AC108" s="20" t="str">
        <f t="shared" si="54"/>
        <v/>
      </c>
      <c r="AD108" s="20" t="str">
        <f t="shared" si="54"/>
        <v/>
      </c>
      <c r="AE108" s="20" t="str">
        <f t="shared" si="54"/>
        <v/>
      </c>
      <c r="AF108" s="20" t="str">
        <f t="shared" si="54"/>
        <v/>
      </c>
      <c r="AG108" s="20" t="str">
        <f t="shared" si="54"/>
        <v/>
      </c>
      <c r="AH108" s="20" t="str">
        <f t="shared" si="54"/>
        <v/>
      </c>
      <c r="AI108" s="20" t="str">
        <f t="shared" si="54"/>
        <v/>
      </c>
      <c r="AJ108" s="20" t="str">
        <f t="shared" si="54"/>
        <v/>
      </c>
      <c r="AK108" s="20" t="str">
        <f t="shared" si="54"/>
        <v/>
      </c>
      <c r="AL108" s="20" t="str">
        <f t="shared" si="54"/>
        <v/>
      </c>
      <c r="AM108" s="20" t="str">
        <f t="shared" si="54"/>
        <v/>
      </c>
      <c r="AN108" s="20" t="str">
        <f t="shared" si="54"/>
        <v/>
      </c>
      <c r="AO108" s="20" t="str">
        <f t="shared" si="54"/>
        <v/>
      </c>
      <c r="AP108" s="20" t="str">
        <f t="shared" si="54"/>
        <v/>
      </c>
      <c r="AQ108" s="20" t="str">
        <f t="shared" si="54"/>
        <v/>
      </c>
      <c r="AR108" s="20" t="str">
        <f t="shared" si="54"/>
        <v/>
      </c>
      <c r="AS108" s="20" t="str">
        <f t="shared" si="54"/>
        <v/>
      </c>
      <c r="AT108" s="20" t="str">
        <f t="shared" si="54"/>
        <v/>
      </c>
      <c r="AU108" s="20" t="str">
        <f t="shared" si="54"/>
        <v/>
      </c>
      <c r="AV108" s="20" t="str">
        <f t="shared" si="54"/>
        <v/>
      </c>
      <c r="AW108" s="20" t="str">
        <f t="shared" si="54"/>
        <v/>
      </c>
      <c r="AX108" s="20" t="str">
        <f t="shared" si="54"/>
        <v/>
      </c>
    </row>
    <row r="109" ht="39.75" customHeight="1">
      <c r="A109" s="13" t="str">
        <f>'Настройки'!B17</f>
        <v>Концепция 4</v>
      </c>
      <c r="B109" s="19" t="str">
        <f>IF(COUNT('Эксперт 1'!B41)=0,"",'Эксперт 1'!B41)</f>
        <v/>
      </c>
      <c r="C109" s="19" t="str">
        <f>IF(COUNT('Эксперт 1'!C41)=0,"",'Эксперт 1'!C41)</f>
        <v/>
      </c>
      <c r="D109" s="19" t="str">
        <f>IF(COUNT('Эксперт 1'!D41)=0,"",'Эксперт 1'!D41)</f>
        <v/>
      </c>
      <c r="E109" s="19">
        <f>IF(COUNT('Эксперт 1'!E41)=0,"",'Эксперт 1'!E41)</f>
        <v>1</v>
      </c>
      <c r="F109" s="19" t="str">
        <f t="shared" si="50"/>
        <v/>
      </c>
      <c r="G109" s="19" t="str">
        <f t="shared" si="51"/>
        <v/>
      </c>
      <c r="H109" s="20"/>
      <c r="I109" s="20"/>
      <c r="J109" s="20" t="str">
        <f t="shared" si="52"/>
        <v/>
      </c>
      <c r="K109" s="20" t="str">
        <f t="shared" ref="K109:AX109" si="55">IF(J109="","",($B109*J$106+$C109*J$107+$D109*J$108+$E109*J$109)/SUM(J$106:J$109))</f>
        <v/>
      </c>
      <c r="L109" s="20" t="str">
        <f t="shared" si="55"/>
        <v/>
      </c>
      <c r="M109" s="20" t="str">
        <f t="shared" si="55"/>
        <v/>
      </c>
      <c r="N109" s="20" t="str">
        <f t="shared" si="55"/>
        <v/>
      </c>
      <c r="O109" s="20" t="str">
        <f t="shared" si="55"/>
        <v/>
      </c>
      <c r="P109" s="20" t="str">
        <f t="shared" si="55"/>
        <v/>
      </c>
      <c r="Q109" s="20" t="str">
        <f t="shared" si="55"/>
        <v/>
      </c>
      <c r="R109" s="20" t="str">
        <f t="shared" si="55"/>
        <v/>
      </c>
      <c r="S109" s="20" t="str">
        <f t="shared" si="55"/>
        <v/>
      </c>
      <c r="T109" s="20" t="str">
        <f t="shared" si="55"/>
        <v/>
      </c>
      <c r="U109" s="20" t="str">
        <f t="shared" si="55"/>
        <v/>
      </c>
      <c r="V109" s="20" t="str">
        <f t="shared" si="55"/>
        <v/>
      </c>
      <c r="W109" s="20" t="str">
        <f t="shared" si="55"/>
        <v/>
      </c>
      <c r="X109" s="20" t="str">
        <f t="shared" si="55"/>
        <v/>
      </c>
      <c r="Y109" s="20" t="str">
        <f t="shared" si="55"/>
        <v/>
      </c>
      <c r="Z109" s="20" t="str">
        <f t="shared" si="55"/>
        <v/>
      </c>
      <c r="AA109" s="20" t="str">
        <f t="shared" si="55"/>
        <v/>
      </c>
      <c r="AB109" s="20" t="str">
        <f t="shared" si="55"/>
        <v/>
      </c>
      <c r="AC109" s="20" t="str">
        <f t="shared" si="55"/>
        <v/>
      </c>
      <c r="AD109" s="20" t="str">
        <f t="shared" si="55"/>
        <v/>
      </c>
      <c r="AE109" s="20" t="str">
        <f t="shared" si="55"/>
        <v/>
      </c>
      <c r="AF109" s="20" t="str">
        <f t="shared" si="55"/>
        <v/>
      </c>
      <c r="AG109" s="20" t="str">
        <f t="shared" si="55"/>
        <v/>
      </c>
      <c r="AH109" s="20" t="str">
        <f t="shared" si="55"/>
        <v/>
      </c>
      <c r="AI109" s="20" t="str">
        <f t="shared" si="55"/>
        <v/>
      </c>
      <c r="AJ109" s="20" t="str">
        <f t="shared" si="55"/>
        <v/>
      </c>
      <c r="AK109" s="20" t="str">
        <f t="shared" si="55"/>
        <v/>
      </c>
      <c r="AL109" s="20" t="str">
        <f t="shared" si="55"/>
        <v/>
      </c>
      <c r="AM109" s="20" t="str">
        <f t="shared" si="55"/>
        <v/>
      </c>
      <c r="AN109" s="20" t="str">
        <f t="shared" si="55"/>
        <v/>
      </c>
      <c r="AO109" s="20" t="str">
        <f t="shared" si="55"/>
        <v/>
      </c>
      <c r="AP109" s="20" t="str">
        <f t="shared" si="55"/>
        <v/>
      </c>
      <c r="AQ109" s="20" t="str">
        <f t="shared" si="55"/>
        <v/>
      </c>
      <c r="AR109" s="20" t="str">
        <f t="shared" si="55"/>
        <v/>
      </c>
      <c r="AS109" s="20" t="str">
        <f t="shared" si="55"/>
        <v/>
      </c>
      <c r="AT109" s="20" t="str">
        <f t="shared" si="55"/>
        <v/>
      </c>
      <c r="AU109" s="20" t="str">
        <f t="shared" si="55"/>
        <v/>
      </c>
      <c r="AV109" s="20" t="str">
        <f t="shared" si="55"/>
        <v/>
      </c>
      <c r="AW109" s="20" t="str">
        <f t="shared" si="55"/>
        <v/>
      </c>
      <c r="AX109" s="20" t="str">
        <f t="shared" si="55"/>
        <v/>
      </c>
    </row>
    <row r="110" ht="22.5" customHeight="1">
      <c r="A110" s="1"/>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row>
    <row r="111" ht="22.5" customHeight="1">
      <c r="A111" s="1" t="s">
        <v>281</v>
      </c>
      <c r="B111" s="20" t="s">
        <v>282</v>
      </c>
      <c r="C111" s="20" t="s">
        <v>283</v>
      </c>
      <c r="D111" s="20" t="s">
        <v>284</v>
      </c>
      <c r="E111" s="20" t="s">
        <v>285</v>
      </c>
      <c r="F111" s="20" t="s">
        <v>286</v>
      </c>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row>
    <row r="112" ht="22.5" customHeight="1">
      <c r="A112" s="1"/>
      <c r="B112" s="20" t="str">
        <f>IF(COUNT(C112)=0,"",C112/'Настройки'!$B$32)</f>
        <v/>
      </c>
      <c r="C112" s="20" t="str">
        <f>IF(D112="","",MAX(0,(D112-4)/3))</f>
        <v/>
      </c>
      <c r="D112" s="20" t="str">
        <f>IF(COUNT(G106:G109)&lt;4,"",AVERAGE(G106:G109))</f>
        <v/>
      </c>
      <c r="E112" s="20" t="str">
        <f>IF(D112="","",SUM(F106:F109))</f>
        <v/>
      </c>
      <c r="F112" s="20" t="str">
        <f>IF(D112="","",MAX(ABS((G106-$D$112)*F106),ABS((G107-$D$112)*F107),ABS((G108-$D$112)*F108),ABS((G109-$D$112)*F109)))</f>
        <v/>
      </c>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row>
    <row r="113" ht="22.5" customHeight="1">
      <c r="A113" s="1"/>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row>
    <row r="114" ht="22.5" customHeight="1">
      <c r="A114" s="1" t="str">
        <f>IF(COUNT(B112)=0,"Нет оценок",IF(F112&gt;0.00000001,"Недостаточная сходимость",IF(B112&lt;='Настройки'!$B$31,"Согласовано","Пересмотреть сравнения")))</f>
        <v>Нет оценок</v>
      </c>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row>
    <row r="115" ht="22.5" customHeight="1">
      <c r="A115" s="1"/>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row>
    <row r="116" ht="22.5" customHeight="1">
      <c r="A116" s="1"/>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row>
    <row r="117" ht="22.5" customHeight="1">
      <c r="A117" s="1"/>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row>
    <row r="118" ht="22.5" customHeight="1">
      <c r="A118" s="1" t="s">
        <v>300</v>
      </c>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row>
    <row r="119" ht="54.0" customHeight="1">
      <c r="A119" s="3" t="s">
        <v>279</v>
      </c>
      <c r="B119" s="21" t="str">
        <f>'Настройки'!B14</f>
        <v>Детейлинг-центр</v>
      </c>
      <c r="C119" s="21" t="str">
        <f>'Настройки'!B15</f>
        <v>Планировщик покупок</v>
      </c>
      <c r="D119" s="21" t="str">
        <f>'Настройки'!B16</f>
        <v>Концепция 3</v>
      </c>
      <c r="E119" s="21" t="str">
        <f>'Настройки'!B17</f>
        <v>Концепция 4</v>
      </c>
      <c r="F119" s="21" t="s">
        <v>274</v>
      </c>
      <c r="G119" s="21" t="s">
        <v>280</v>
      </c>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row>
    <row r="120" ht="39.75" customHeight="1">
      <c r="A120" s="13" t="str">
        <f>'Настройки'!B14</f>
        <v>Детейлинг-центр</v>
      </c>
      <c r="B120" s="19">
        <f>IF(COUNT('Эксперт 1'!B50)=0,"",'Эксперт 1'!B50)</f>
        <v>1</v>
      </c>
      <c r="C120" s="19" t="str">
        <f>IF(COUNT('Эксперт 1'!C50)=0,"",'Эксперт 1'!C50)</f>
        <v/>
      </c>
      <c r="D120" s="19" t="str">
        <f>IF(COUNT('Эксперт 1'!D50)=0,"",'Эксперт 1'!D50)</f>
        <v/>
      </c>
      <c r="E120" s="19" t="str">
        <f>IF(COUNT('Эксперт 1'!E50)=0,"",'Эксперт 1'!E50)</f>
        <v/>
      </c>
      <c r="F120" s="19" t="str">
        <f t="shared" ref="F120:F123" si="57">IF(AX120="","",AX120/SUM(AX$120:AX$123))</f>
        <v/>
      </c>
      <c r="G120" s="19" t="str">
        <f t="shared" ref="G120:G123" si="58">IF(F120="","",(B120*$F$120+C120*$F$121+D120*$F$122+E120*$F$123)/F120)</f>
        <v/>
      </c>
      <c r="H120" s="20"/>
      <c r="I120" s="20"/>
      <c r="J120" s="20" t="str">
        <f t="shared" ref="J120:J123" si="59">IF(COUNT($B$120:$E$123)&lt;16,"",1/4)</f>
        <v/>
      </c>
      <c r="K120" s="20" t="str">
        <f t="shared" ref="K120:AX120" si="56">IF(J120="","",($B120*J$120+$C120*J$121+$D120*J$122+$E120*J$123)/SUM(J$120:J$123))</f>
        <v/>
      </c>
      <c r="L120" s="20" t="str">
        <f t="shared" si="56"/>
        <v/>
      </c>
      <c r="M120" s="20" t="str">
        <f t="shared" si="56"/>
        <v/>
      </c>
      <c r="N120" s="20" t="str">
        <f t="shared" si="56"/>
        <v/>
      </c>
      <c r="O120" s="20" t="str">
        <f t="shared" si="56"/>
        <v/>
      </c>
      <c r="P120" s="20" t="str">
        <f t="shared" si="56"/>
        <v/>
      </c>
      <c r="Q120" s="20" t="str">
        <f t="shared" si="56"/>
        <v/>
      </c>
      <c r="R120" s="20" t="str">
        <f t="shared" si="56"/>
        <v/>
      </c>
      <c r="S120" s="20" t="str">
        <f t="shared" si="56"/>
        <v/>
      </c>
      <c r="T120" s="20" t="str">
        <f t="shared" si="56"/>
        <v/>
      </c>
      <c r="U120" s="20" t="str">
        <f t="shared" si="56"/>
        <v/>
      </c>
      <c r="V120" s="20" t="str">
        <f t="shared" si="56"/>
        <v/>
      </c>
      <c r="W120" s="20" t="str">
        <f t="shared" si="56"/>
        <v/>
      </c>
      <c r="X120" s="20" t="str">
        <f t="shared" si="56"/>
        <v/>
      </c>
      <c r="Y120" s="20" t="str">
        <f t="shared" si="56"/>
        <v/>
      </c>
      <c r="Z120" s="20" t="str">
        <f t="shared" si="56"/>
        <v/>
      </c>
      <c r="AA120" s="20" t="str">
        <f t="shared" si="56"/>
        <v/>
      </c>
      <c r="AB120" s="20" t="str">
        <f t="shared" si="56"/>
        <v/>
      </c>
      <c r="AC120" s="20" t="str">
        <f t="shared" si="56"/>
        <v/>
      </c>
      <c r="AD120" s="20" t="str">
        <f t="shared" si="56"/>
        <v/>
      </c>
      <c r="AE120" s="20" t="str">
        <f t="shared" si="56"/>
        <v/>
      </c>
      <c r="AF120" s="20" t="str">
        <f t="shared" si="56"/>
        <v/>
      </c>
      <c r="AG120" s="20" t="str">
        <f t="shared" si="56"/>
        <v/>
      </c>
      <c r="AH120" s="20" t="str">
        <f t="shared" si="56"/>
        <v/>
      </c>
      <c r="AI120" s="20" t="str">
        <f t="shared" si="56"/>
        <v/>
      </c>
      <c r="AJ120" s="20" t="str">
        <f t="shared" si="56"/>
        <v/>
      </c>
      <c r="AK120" s="20" t="str">
        <f t="shared" si="56"/>
        <v/>
      </c>
      <c r="AL120" s="20" t="str">
        <f t="shared" si="56"/>
        <v/>
      </c>
      <c r="AM120" s="20" t="str">
        <f t="shared" si="56"/>
        <v/>
      </c>
      <c r="AN120" s="20" t="str">
        <f t="shared" si="56"/>
        <v/>
      </c>
      <c r="AO120" s="20" t="str">
        <f t="shared" si="56"/>
        <v/>
      </c>
      <c r="AP120" s="20" t="str">
        <f t="shared" si="56"/>
        <v/>
      </c>
      <c r="AQ120" s="20" t="str">
        <f t="shared" si="56"/>
        <v/>
      </c>
      <c r="AR120" s="20" t="str">
        <f t="shared" si="56"/>
        <v/>
      </c>
      <c r="AS120" s="20" t="str">
        <f t="shared" si="56"/>
        <v/>
      </c>
      <c r="AT120" s="20" t="str">
        <f t="shared" si="56"/>
        <v/>
      </c>
      <c r="AU120" s="20" t="str">
        <f t="shared" si="56"/>
        <v/>
      </c>
      <c r="AV120" s="20" t="str">
        <f t="shared" si="56"/>
        <v/>
      </c>
      <c r="AW120" s="20" t="str">
        <f t="shared" si="56"/>
        <v/>
      </c>
      <c r="AX120" s="20" t="str">
        <f t="shared" si="56"/>
        <v/>
      </c>
    </row>
    <row r="121" ht="39.75" customHeight="1">
      <c r="A121" s="13" t="str">
        <f>'Настройки'!B15</f>
        <v>Планировщик покупок</v>
      </c>
      <c r="B121" s="19" t="str">
        <f>IF(COUNT('Эксперт 1'!B51)=0,"",'Эксперт 1'!B51)</f>
        <v/>
      </c>
      <c r="C121" s="19">
        <f>IF(COUNT('Эксперт 1'!C51)=0,"",'Эксперт 1'!C51)</f>
        <v>1</v>
      </c>
      <c r="D121" s="19" t="str">
        <f>IF(COUNT('Эксперт 1'!D51)=0,"",'Эксперт 1'!D51)</f>
        <v/>
      </c>
      <c r="E121" s="19" t="str">
        <f>IF(COUNT('Эксперт 1'!E51)=0,"",'Эксперт 1'!E51)</f>
        <v/>
      </c>
      <c r="F121" s="19" t="str">
        <f t="shared" si="57"/>
        <v/>
      </c>
      <c r="G121" s="19" t="str">
        <f t="shared" si="58"/>
        <v/>
      </c>
      <c r="H121" s="20"/>
      <c r="I121" s="20"/>
      <c r="J121" s="20" t="str">
        <f t="shared" si="59"/>
        <v/>
      </c>
      <c r="K121" s="20" t="str">
        <f t="shared" ref="K121:AX121" si="60">IF(J121="","",($B121*J$120+$C121*J$121+$D121*J$122+$E121*J$123)/SUM(J$120:J$123))</f>
        <v/>
      </c>
      <c r="L121" s="20" t="str">
        <f t="shared" si="60"/>
        <v/>
      </c>
      <c r="M121" s="20" t="str">
        <f t="shared" si="60"/>
        <v/>
      </c>
      <c r="N121" s="20" t="str">
        <f t="shared" si="60"/>
        <v/>
      </c>
      <c r="O121" s="20" t="str">
        <f t="shared" si="60"/>
        <v/>
      </c>
      <c r="P121" s="20" t="str">
        <f t="shared" si="60"/>
        <v/>
      </c>
      <c r="Q121" s="20" t="str">
        <f t="shared" si="60"/>
        <v/>
      </c>
      <c r="R121" s="20" t="str">
        <f t="shared" si="60"/>
        <v/>
      </c>
      <c r="S121" s="20" t="str">
        <f t="shared" si="60"/>
        <v/>
      </c>
      <c r="T121" s="20" t="str">
        <f t="shared" si="60"/>
        <v/>
      </c>
      <c r="U121" s="20" t="str">
        <f t="shared" si="60"/>
        <v/>
      </c>
      <c r="V121" s="20" t="str">
        <f t="shared" si="60"/>
        <v/>
      </c>
      <c r="W121" s="20" t="str">
        <f t="shared" si="60"/>
        <v/>
      </c>
      <c r="X121" s="20" t="str">
        <f t="shared" si="60"/>
        <v/>
      </c>
      <c r="Y121" s="20" t="str">
        <f t="shared" si="60"/>
        <v/>
      </c>
      <c r="Z121" s="20" t="str">
        <f t="shared" si="60"/>
        <v/>
      </c>
      <c r="AA121" s="20" t="str">
        <f t="shared" si="60"/>
        <v/>
      </c>
      <c r="AB121" s="20" t="str">
        <f t="shared" si="60"/>
        <v/>
      </c>
      <c r="AC121" s="20" t="str">
        <f t="shared" si="60"/>
        <v/>
      </c>
      <c r="AD121" s="20" t="str">
        <f t="shared" si="60"/>
        <v/>
      </c>
      <c r="AE121" s="20" t="str">
        <f t="shared" si="60"/>
        <v/>
      </c>
      <c r="AF121" s="20" t="str">
        <f t="shared" si="60"/>
        <v/>
      </c>
      <c r="AG121" s="20" t="str">
        <f t="shared" si="60"/>
        <v/>
      </c>
      <c r="AH121" s="20" t="str">
        <f t="shared" si="60"/>
        <v/>
      </c>
      <c r="AI121" s="20" t="str">
        <f t="shared" si="60"/>
        <v/>
      </c>
      <c r="AJ121" s="20" t="str">
        <f t="shared" si="60"/>
        <v/>
      </c>
      <c r="AK121" s="20" t="str">
        <f t="shared" si="60"/>
        <v/>
      </c>
      <c r="AL121" s="20" t="str">
        <f t="shared" si="60"/>
        <v/>
      </c>
      <c r="AM121" s="20" t="str">
        <f t="shared" si="60"/>
        <v/>
      </c>
      <c r="AN121" s="20" t="str">
        <f t="shared" si="60"/>
        <v/>
      </c>
      <c r="AO121" s="20" t="str">
        <f t="shared" si="60"/>
        <v/>
      </c>
      <c r="AP121" s="20" t="str">
        <f t="shared" si="60"/>
        <v/>
      </c>
      <c r="AQ121" s="20" t="str">
        <f t="shared" si="60"/>
        <v/>
      </c>
      <c r="AR121" s="20" t="str">
        <f t="shared" si="60"/>
        <v/>
      </c>
      <c r="AS121" s="20" t="str">
        <f t="shared" si="60"/>
        <v/>
      </c>
      <c r="AT121" s="20" t="str">
        <f t="shared" si="60"/>
        <v/>
      </c>
      <c r="AU121" s="20" t="str">
        <f t="shared" si="60"/>
        <v/>
      </c>
      <c r="AV121" s="20" t="str">
        <f t="shared" si="60"/>
        <v/>
      </c>
      <c r="AW121" s="20" t="str">
        <f t="shared" si="60"/>
        <v/>
      </c>
      <c r="AX121" s="20" t="str">
        <f t="shared" si="60"/>
        <v/>
      </c>
    </row>
    <row r="122" ht="39.75" customHeight="1">
      <c r="A122" s="13" t="str">
        <f>'Настройки'!B16</f>
        <v>Концепция 3</v>
      </c>
      <c r="B122" s="19" t="str">
        <f>IF(COUNT('Эксперт 1'!B52)=0,"",'Эксперт 1'!B52)</f>
        <v/>
      </c>
      <c r="C122" s="19" t="str">
        <f>IF(COUNT('Эксперт 1'!C52)=0,"",'Эксперт 1'!C52)</f>
        <v/>
      </c>
      <c r="D122" s="19">
        <f>IF(COUNT('Эксперт 1'!D52)=0,"",'Эксперт 1'!D52)</f>
        <v>1</v>
      </c>
      <c r="E122" s="19" t="str">
        <f>IF(COUNT('Эксперт 1'!E52)=0,"",'Эксперт 1'!E52)</f>
        <v/>
      </c>
      <c r="F122" s="19" t="str">
        <f t="shared" si="57"/>
        <v/>
      </c>
      <c r="G122" s="19" t="str">
        <f t="shared" si="58"/>
        <v/>
      </c>
      <c r="H122" s="20"/>
      <c r="I122" s="20"/>
      <c r="J122" s="20" t="str">
        <f t="shared" si="59"/>
        <v/>
      </c>
      <c r="K122" s="20" t="str">
        <f t="shared" ref="K122:AX122" si="61">IF(J122="","",($B122*J$120+$C122*J$121+$D122*J$122+$E122*J$123)/SUM(J$120:J$123))</f>
        <v/>
      </c>
      <c r="L122" s="20" t="str">
        <f t="shared" si="61"/>
        <v/>
      </c>
      <c r="M122" s="20" t="str">
        <f t="shared" si="61"/>
        <v/>
      </c>
      <c r="N122" s="20" t="str">
        <f t="shared" si="61"/>
        <v/>
      </c>
      <c r="O122" s="20" t="str">
        <f t="shared" si="61"/>
        <v/>
      </c>
      <c r="P122" s="20" t="str">
        <f t="shared" si="61"/>
        <v/>
      </c>
      <c r="Q122" s="20" t="str">
        <f t="shared" si="61"/>
        <v/>
      </c>
      <c r="R122" s="20" t="str">
        <f t="shared" si="61"/>
        <v/>
      </c>
      <c r="S122" s="20" t="str">
        <f t="shared" si="61"/>
        <v/>
      </c>
      <c r="T122" s="20" t="str">
        <f t="shared" si="61"/>
        <v/>
      </c>
      <c r="U122" s="20" t="str">
        <f t="shared" si="61"/>
        <v/>
      </c>
      <c r="V122" s="20" t="str">
        <f t="shared" si="61"/>
        <v/>
      </c>
      <c r="W122" s="20" t="str">
        <f t="shared" si="61"/>
        <v/>
      </c>
      <c r="X122" s="20" t="str">
        <f t="shared" si="61"/>
        <v/>
      </c>
      <c r="Y122" s="20" t="str">
        <f t="shared" si="61"/>
        <v/>
      </c>
      <c r="Z122" s="20" t="str">
        <f t="shared" si="61"/>
        <v/>
      </c>
      <c r="AA122" s="20" t="str">
        <f t="shared" si="61"/>
        <v/>
      </c>
      <c r="AB122" s="20" t="str">
        <f t="shared" si="61"/>
        <v/>
      </c>
      <c r="AC122" s="20" t="str">
        <f t="shared" si="61"/>
        <v/>
      </c>
      <c r="AD122" s="20" t="str">
        <f t="shared" si="61"/>
        <v/>
      </c>
      <c r="AE122" s="20" t="str">
        <f t="shared" si="61"/>
        <v/>
      </c>
      <c r="AF122" s="20" t="str">
        <f t="shared" si="61"/>
        <v/>
      </c>
      <c r="AG122" s="20" t="str">
        <f t="shared" si="61"/>
        <v/>
      </c>
      <c r="AH122" s="20" t="str">
        <f t="shared" si="61"/>
        <v/>
      </c>
      <c r="AI122" s="20" t="str">
        <f t="shared" si="61"/>
        <v/>
      </c>
      <c r="AJ122" s="20" t="str">
        <f t="shared" si="61"/>
        <v/>
      </c>
      <c r="AK122" s="20" t="str">
        <f t="shared" si="61"/>
        <v/>
      </c>
      <c r="AL122" s="20" t="str">
        <f t="shared" si="61"/>
        <v/>
      </c>
      <c r="AM122" s="20" t="str">
        <f t="shared" si="61"/>
        <v/>
      </c>
      <c r="AN122" s="20" t="str">
        <f t="shared" si="61"/>
        <v/>
      </c>
      <c r="AO122" s="20" t="str">
        <f t="shared" si="61"/>
        <v/>
      </c>
      <c r="AP122" s="20" t="str">
        <f t="shared" si="61"/>
        <v/>
      </c>
      <c r="AQ122" s="20" t="str">
        <f t="shared" si="61"/>
        <v/>
      </c>
      <c r="AR122" s="20" t="str">
        <f t="shared" si="61"/>
        <v/>
      </c>
      <c r="AS122" s="20" t="str">
        <f t="shared" si="61"/>
        <v/>
      </c>
      <c r="AT122" s="20" t="str">
        <f t="shared" si="61"/>
        <v/>
      </c>
      <c r="AU122" s="20" t="str">
        <f t="shared" si="61"/>
        <v/>
      </c>
      <c r="AV122" s="20" t="str">
        <f t="shared" si="61"/>
        <v/>
      </c>
      <c r="AW122" s="20" t="str">
        <f t="shared" si="61"/>
        <v/>
      </c>
      <c r="AX122" s="20" t="str">
        <f t="shared" si="61"/>
        <v/>
      </c>
    </row>
    <row r="123" ht="39.75" customHeight="1">
      <c r="A123" s="13" t="str">
        <f>'Настройки'!B17</f>
        <v>Концепция 4</v>
      </c>
      <c r="B123" s="19" t="str">
        <f>IF(COUNT('Эксперт 1'!B53)=0,"",'Эксперт 1'!B53)</f>
        <v/>
      </c>
      <c r="C123" s="19" t="str">
        <f>IF(COUNT('Эксперт 1'!C53)=0,"",'Эксперт 1'!C53)</f>
        <v/>
      </c>
      <c r="D123" s="19" t="str">
        <f>IF(COUNT('Эксперт 1'!D53)=0,"",'Эксперт 1'!D53)</f>
        <v/>
      </c>
      <c r="E123" s="19">
        <f>IF(COUNT('Эксперт 1'!E53)=0,"",'Эксперт 1'!E53)</f>
        <v>1</v>
      </c>
      <c r="F123" s="19" t="str">
        <f t="shared" si="57"/>
        <v/>
      </c>
      <c r="G123" s="19" t="str">
        <f t="shared" si="58"/>
        <v/>
      </c>
      <c r="H123" s="20"/>
      <c r="I123" s="20"/>
      <c r="J123" s="20" t="str">
        <f t="shared" si="59"/>
        <v/>
      </c>
      <c r="K123" s="20" t="str">
        <f t="shared" ref="K123:AX123" si="62">IF(J123="","",($B123*J$120+$C123*J$121+$D123*J$122+$E123*J$123)/SUM(J$120:J$123))</f>
        <v/>
      </c>
      <c r="L123" s="20" t="str">
        <f t="shared" si="62"/>
        <v/>
      </c>
      <c r="M123" s="20" t="str">
        <f t="shared" si="62"/>
        <v/>
      </c>
      <c r="N123" s="20" t="str">
        <f t="shared" si="62"/>
        <v/>
      </c>
      <c r="O123" s="20" t="str">
        <f t="shared" si="62"/>
        <v/>
      </c>
      <c r="P123" s="20" t="str">
        <f t="shared" si="62"/>
        <v/>
      </c>
      <c r="Q123" s="20" t="str">
        <f t="shared" si="62"/>
        <v/>
      </c>
      <c r="R123" s="20" t="str">
        <f t="shared" si="62"/>
        <v/>
      </c>
      <c r="S123" s="20" t="str">
        <f t="shared" si="62"/>
        <v/>
      </c>
      <c r="T123" s="20" t="str">
        <f t="shared" si="62"/>
        <v/>
      </c>
      <c r="U123" s="20" t="str">
        <f t="shared" si="62"/>
        <v/>
      </c>
      <c r="V123" s="20" t="str">
        <f t="shared" si="62"/>
        <v/>
      </c>
      <c r="W123" s="20" t="str">
        <f t="shared" si="62"/>
        <v/>
      </c>
      <c r="X123" s="20" t="str">
        <f t="shared" si="62"/>
        <v/>
      </c>
      <c r="Y123" s="20" t="str">
        <f t="shared" si="62"/>
        <v/>
      </c>
      <c r="Z123" s="20" t="str">
        <f t="shared" si="62"/>
        <v/>
      </c>
      <c r="AA123" s="20" t="str">
        <f t="shared" si="62"/>
        <v/>
      </c>
      <c r="AB123" s="20" t="str">
        <f t="shared" si="62"/>
        <v/>
      </c>
      <c r="AC123" s="20" t="str">
        <f t="shared" si="62"/>
        <v/>
      </c>
      <c r="AD123" s="20" t="str">
        <f t="shared" si="62"/>
        <v/>
      </c>
      <c r="AE123" s="20" t="str">
        <f t="shared" si="62"/>
        <v/>
      </c>
      <c r="AF123" s="20" t="str">
        <f t="shared" si="62"/>
        <v/>
      </c>
      <c r="AG123" s="20" t="str">
        <f t="shared" si="62"/>
        <v/>
      </c>
      <c r="AH123" s="20" t="str">
        <f t="shared" si="62"/>
        <v/>
      </c>
      <c r="AI123" s="20" t="str">
        <f t="shared" si="62"/>
        <v/>
      </c>
      <c r="AJ123" s="20" t="str">
        <f t="shared" si="62"/>
        <v/>
      </c>
      <c r="AK123" s="20" t="str">
        <f t="shared" si="62"/>
        <v/>
      </c>
      <c r="AL123" s="20" t="str">
        <f t="shared" si="62"/>
        <v/>
      </c>
      <c r="AM123" s="20" t="str">
        <f t="shared" si="62"/>
        <v/>
      </c>
      <c r="AN123" s="20" t="str">
        <f t="shared" si="62"/>
        <v/>
      </c>
      <c r="AO123" s="20" t="str">
        <f t="shared" si="62"/>
        <v/>
      </c>
      <c r="AP123" s="20" t="str">
        <f t="shared" si="62"/>
        <v/>
      </c>
      <c r="AQ123" s="20" t="str">
        <f t="shared" si="62"/>
        <v/>
      </c>
      <c r="AR123" s="20" t="str">
        <f t="shared" si="62"/>
        <v/>
      </c>
      <c r="AS123" s="20" t="str">
        <f t="shared" si="62"/>
        <v/>
      </c>
      <c r="AT123" s="20" t="str">
        <f t="shared" si="62"/>
        <v/>
      </c>
      <c r="AU123" s="20" t="str">
        <f t="shared" si="62"/>
        <v/>
      </c>
      <c r="AV123" s="20" t="str">
        <f t="shared" si="62"/>
        <v/>
      </c>
      <c r="AW123" s="20" t="str">
        <f t="shared" si="62"/>
        <v/>
      </c>
      <c r="AX123" s="20" t="str">
        <f t="shared" si="62"/>
        <v/>
      </c>
    </row>
    <row r="124" ht="22.5" customHeight="1">
      <c r="A124" s="1"/>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row>
    <row r="125" ht="22.5" customHeight="1">
      <c r="A125" s="1" t="s">
        <v>281</v>
      </c>
      <c r="B125" s="20" t="s">
        <v>282</v>
      </c>
      <c r="C125" s="20" t="s">
        <v>283</v>
      </c>
      <c r="D125" s="20" t="s">
        <v>284</v>
      </c>
      <c r="E125" s="20" t="s">
        <v>285</v>
      </c>
      <c r="F125" s="20" t="s">
        <v>286</v>
      </c>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row>
    <row r="126" ht="22.5" customHeight="1">
      <c r="A126" s="1"/>
      <c r="B126" s="20" t="str">
        <f>IF(COUNT(C126)=0,"",C126/'Настройки'!$B$32)</f>
        <v/>
      </c>
      <c r="C126" s="20" t="str">
        <f>IF(D126="","",MAX(0,(D126-4)/3))</f>
        <v/>
      </c>
      <c r="D126" s="20" t="str">
        <f>IF(COUNT(G120:G123)&lt;4,"",AVERAGE(G120:G123))</f>
        <v/>
      </c>
      <c r="E126" s="20" t="str">
        <f>IF(D126="","",SUM(F120:F123))</f>
        <v/>
      </c>
      <c r="F126" s="20" t="str">
        <f>IF(D126="","",MAX(ABS((G120-$D$126)*F120),ABS((G121-$D$126)*F121),ABS((G122-$D$126)*F122),ABS((G123-$D$126)*F123)))</f>
        <v/>
      </c>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row>
    <row r="127" ht="22.5" customHeight="1">
      <c r="A127" s="1"/>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row>
    <row r="128" ht="22.5" customHeight="1">
      <c r="A128" s="1" t="str">
        <f>IF(COUNT(B126)=0,"Нет оценок",IF(F126&gt;0.00000001,"Недостаточная сходимость",IF(B126&lt;='Настройки'!$B$31,"Согласовано","Пересмотреть сравнения")))</f>
        <v>Нет оценок</v>
      </c>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row>
    <row r="129" ht="22.5" customHeight="1">
      <c r="A129" s="1"/>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row>
    <row r="130" ht="22.5" customHeight="1">
      <c r="A130" s="1"/>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row>
    <row r="131" ht="22.5" customHeight="1">
      <c r="A131" s="1"/>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row>
    <row r="132" ht="22.5" customHeight="1">
      <c r="A132" s="1" t="s">
        <v>301</v>
      </c>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row>
    <row r="133" ht="54.0" customHeight="1">
      <c r="A133" s="3" t="s">
        <v>279</v>
      </c>
      <c r="B133" s="21" t="str">
        <f>'Настройки'!B14</f>
        <v>Детейлинг-центр</v>
      </c>
      <c r="C133" s="21" t="str">
        <f>'Настройки'!B15</f>
        <v>Планировщик покупок</v>
      </c>
      <c r="D133" s="21" t="str">
        <f>'Настройки'!B16</f>
        <v>Концепция 3</v>
      </c>
      <c r="E133" s="21" t="str">
        <f>'Настройки'!B17</f>
        <v>Концепция 4</v>
      </c>
      <c r="F133" s="21" t="s">
        <v>274</v>
      </c>
      <c r="G133" s="21" t="s">
        <v>280</v>
      </c>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row>
    <row r="134" ht="39.75" customHeight="1">
      <c r="A134" s="13" t="str">
        <f>'Настройки'!B14</f>
        <v>Детейлинг-центр</v>
      </c>
      <c r="B134" s="19">
        <f>IF(COUNT('Эксперт 1'!B62)=0,"",'Эксперт 1'!B62)</f>
        <v>1</v>
      </c>
      <c r="C134" s="19" t="str">
        <f>IF(COUNT('Эксперт 1'!C62)=0,"",'Эксперт 1'!C62)</f>
        <v/>
      </c>
      <c r="D134" s="19" t="str">
        <f>IF(COUNT('Эксперт 1'!D62)=0,"",'Эксперт 1'!D62)</f>
        <v/>
      </c>
      <c r="E134" s="19" t="str">
        <f>IF(COUNT('Эксперт 1'!E62)=0,"",'Эксперт 1'!E62)</f>
        <v/>
      </c>
      <c r="F134" s="19" t="str">
        <f t="shared" ref="F134:F137" si="64">IF(AX134="","",AX134/SUM(AX$134:AX$137))</f>
        <v/>
      </c>
      <c r="G134" s="19" t="str">
        <f t="shared" ref="G134:G137" si="65">IF(F134="","",(B134*$F$134+C134*$F$135+D134*$F$136+E134*$F$137)/F134)</f>
        <v/>
      </c>
      <c r="H134" s="20"/>
      <c r="I134" s="20"/>
      <c r="J134" s="20" t="str">
        <f t="shared" ref="J134:J137" si="66">IF(COUNT($B$134:$E$137)&lt;16,"",1/4)</f>
        <v/>
      </c>
      <c r="K134" s="20" t="str">
        <f t="shared" ref="K134:AX134" si="63">IF(J134="","",($B134*J$134+$C134*J$135+$D134*J$136+$E134*J$137)/SUM(J$134:J$137))</f>
        <v/>
      </c>
      <c r="L134" s="20" t="str">
        <f t="shared" si="63"/>
        <v/>
      </c>
      <c r="M134" s="20" t="str">
        <f t="shared" si="63"/>
        <v/>
      </c>
      <c r="N134" s="20" t="str">
        <f t="shared" si="63"/>
        <v/>
      </c>
      <c r="O134" s="20" t="str">
        <f t="shared" si="63"/>
        <v/>
      </c>
      <c r="P134" s="20" t="str">
        <f t="shared" si="63"/>
        <v/>
      </c>
      <c r="Q134" s="20" t="str">
        <f t="shared" si="63"/>
        <v/>
      </c>
      <c r="R134" s="20" t="str">
        <f t="shared" si="63"/>
        <v/>
      </c>
      <c r="S134" s="20" t="str">
        <f t="shared" si="63"/>
        <v/>
      </c>
      <c r="T134" s="20" t="str">
        <f t="shared" si="63"/>
        <v/>
      </c>
      <c r="U134" s="20" t="str">
        <f t="shared" si="63"/>
        <v/>
      </c>
      <c r="V134" s="20" t="str">
        <f t="shared" si="63"/>
        <v/>
      </c>
      <c r="W134" s="20" t="str">
        <f t="shared" si="63"/>
        <v/>
      </c>
      <c r="X134" s="20" t="str">
        <f t="shared" si="63"/>
        <v/>
      </c>
      <c r="Y134" s="20" t="str">
        <f t="shared" si="63"/>
        <v/>
      </c>
      <c r="Z134" s="20" t="str">
        <f t="shared" si="63"/>
        <v/>
      </c>
      <c r="AA134" s="20" t="str">
        <f t="shared" si="63"/>
        <v/>
      </c>
      <c r="AB134" s="20" t="str">
        <f t="shared" si="63"/>
        <v/>
      </c>
      <c r="AC134" s="20" t="str">
        <f t="shared" si="63"/>
        <v/>
      </c>
      <c r="AD134" s="20" t="str">
        <f t="shared" si="63"/>
        <v/>
      </c>
      <c r="AE134" s="20" t="str">
        <f t="shared" si="63"/>
        <v/>
      </c>
      <c r="AF134" s="20" t="str">
        <f t="shared" si="63"/>
        <v/>
      </c>
      <c r="AG134" s="20" t="str">
        <f t="shared" si="63"/>
        <v/>
      </c>
      <c r="AH134" s="20" t="str">
        <f t="shared" si="63"/>
        <v/>
      </c>
      <c r="AI134" s="20" t="str">
        <f t="shared" si="63"/>
        <v/>
      </c>
      <c r="AJ134" s="20" t="str">
        <f t="shared" si="63"/>
        <v/>
      </c>
      <c r="AK134" s="20" t="str">
        <f t="shared" si="63"/>
        <v/>
      </c>
      <c r="AL134" s="20" t="str">
        <f t="shared" si="63"/>
        <v/>
      </c>
      <c r="AM134" s="20" t="str">
        <f t="shared" si="63"/>
        <v/>
      </c>
      <c r="AN134" s="20" t="str">
        <f t="shared" si="63"/>
        <v/>
      </c>
      <c r="AO134" s="20" t="str">
        <f t="shared" si="63"/>
        <v/>
      </c>
      <c r="AP134" s="20" t="str">
        <f t="shared" si="63"/>
        <v/>
      </c>
      <c r="AQ134" s="20" t="str">
        <f t="shared" si="63"/>
        <v/>
      </c>
      <c r="AR134" s="20" t="str">
        <f t="shared" si="63"/>
        <v/>
      </c>
      <c r="AS134" s="20" t="str">
        <f t="shared" si="63"/>
        <v/>
      </c>
      <c r="AT134" s="20" t="str">
        <f t="shared" si="63"/>
        <v/>
      </c>
      <c r="AU134" s="20" t="str">
        <f t="shared" si="63"/>
        <v/>
      </c>
      <c r="AV134" s="20" t="str">
        <f t="shared" si="63"/>
        <v/>
      </c>
      <c r="AW134" s="20" t="str">
        <f t="shared" si="63"/>
        <v/>
      </c>
      <c r="AX134" s="20" t="str">
        <f t="shared" si="63"/>
        <v/>
      </c>
    </row>
    <row r="135" ht="39.75" customHeight="1">
      <c r="A135" s="13" t="str">
        <f>'Настройки'!B15</f>
        <v>Планировщик покупок</v>
      </c>
      <c r="B135" s="19" t="str">
        <f>IF(COUNT('Эксперт 1'!B63)=0,"",'Эксперт 1'!B63)</f>
        <v/>
      </c>
      <c r="C135" s="19">
        <f>IF(COUNT('Эксперт 1'!C63)=0,"",'Эксперт 1'!C63)</f>
        <v>1</v>
      </c>
      <c r="D135" s="19" t="str">
        <f>IF(COUNT('Эксперт 1'!D63)=0,"",'Эксперт 1'!D63)</f>
        <v/>
      </c>
      <c r="E135" s="19" t="str">
        <f>IF(COUNT('Эксперт 1'!E63)=0,"",'Эксперт 1'!E63)</f>
        <v/>
      </c>
      <c r="F135" s="19" t="str">
        <f t="shared" si="64"/>
        <v/>
      </c>
      <c r="G135" s="19" t="str">
        <f t="shared" si="65"/>
        <v/>
      </c>
      <c r="H135" s="20"/>
      <c r="I135" s="20"/>
      <c r="J135" s="20" t="str">
        <f t="shared" si="66"/>
        <v/>
      </c>
      <c r="K135" s="20" t="str">
        <f t="shared" ref="K135:AX135" si="67">IF(J135="","",($B135*J$134+$C135*J$135+$D135*J$136+$E135*J$137)/SUM(J$134:J$137))</f>
        <v/>
      </c>
      <c r="L135" s="20" t="str">
        <f t="shared" si="67"/>
        <v/>
      </c>
      <c r="M135" s="20" t="str">
        <f t="shared" si="67"/>
        <v/>
      </c>
      <c r="N135" s="20" t="str">
        <f t="shared" si="67"/>
        <v/>
      </c>
      <c r="O135" s="20" t="str">
        <f t="shared" si="67"/>
        <v/>
      </c>
      <c r="P135" s="20" t="str">
        <f t="shared" si="67"/>
        <v/>
      </c>
      <c r="Q135" s="20" t="str">
        <f t="shared" si="67"/>
        <v/>
      </c>
      <c r="R135" s="20" t="str">
        <f t="shared" si="67"/>
        <v/>
      </c>
      <c r="S135" s="20" t="str">
        <f t="shared" si="67"/>
        <v/>
      </c>
      <c r="T135" s="20" t="str">
        <f t="shared" si="67"/>
        <v/>
      </c>
      <c r="U135" s="20" t="str">
        <f t="shared" si="67"/>
        <v/>
      </c>
      <c r="V135" s="20" t="str">
        <f t="shared" si="67"/>
        <v/>
      </c>
      <c r="W135" s="20" t="str">
        <f t="shared" si="67"/>
        <v/>
      </c>
      <c r="X135" s="20" t="str">
        <f t="shared" si="67"/>
        <v/>
      </c>
      <c r="Y135" s="20" t="str">
        <f t="shared" si="67"/>
        <v/>
      </c>
      <c r="Z135" s="20" t="str">
        <f t="shared" si="67"/>
        <v/>
      </c>
      <c r="AA135" s="20" t="str">
        <f t="shared" si="67"/>
        <v/>
      </c>
      <c r="AB135" s="20" t="str">
        <f t="shared" si="67"/>
        <v/>
      </c>
      <c r="AC135" s="20" t="str">
        <f t="shared" si="67"/>
        <v/>
      </c>
      <c r="AD135" s="20" t="str">
        <f t="shared" si="67"/>
        <v/>
      </c>
      <c r="AE135" s="20" t="str">
        <f t="shared" si="67"/>
        <v/>
      </c>
      <c r="AF135" s="20" t="str">
        <f t="shared" si="67"/>
        <v/>
      </c>
      <c r="AG135" s="20" t="str">
        <f t="shared" si="67"/>
        <v/>
      </c>
      <c r="AH135" s="20" t="str">
        <f t="shared" si="67"/>
        <v/>
      </c>
      <c r="AI135" s="20" t="str">
        <f t="shared" si="67"/>
        <v/>
      </c>
      <c r="AJ135" s="20" t="str">
        <f t="shared" si="67"/>
        <v/>
      </c>
      <c r="AK135" s="20" t="str">
        <f t="shared" si="67"/>
        <v/>
      </c>
      <c r="AL135" s="20" t="str">
        <f t="shared" si="67"/>
        <v/>
      </c>
      <c r="AM135" s="20" t="str">
        <f t="shared" si="67"/>
        <v/>
      </c>
      <c r="AN135" s="20" t="str">
        <f t="shared" si="67"/>
        <v/>
      </c>
      <c r="AO135" s="20" t="str">
        <f t="shared" si="67"/>
        <v/>
      </c>
      <c r="AP135" s="20" t="str">
        <f t="shared" si="67"/>
        <v/>
      </c>
      <c r="AQ135" s="20" t="str">
        <f t="shared" si="67"/>
        <v/>
      </c>
      <c r="AR135" s="20" t="str">
        <f t="shared" si="67"/>
        <v/>
      </c>
      <c r="AS135" s="20" t="str">
        <f t="shared" si="67"/>
        <v/>
      </c>
      <c r="AT135" s="20" t="str">
        <f t="shared" si="67"/>
        <v/>
      </c>
      <c r="AU135" s="20" t="str">
        <f t="shared" si="67"/>
        <v/>
      </c>
      <c r="AV135" s="20" t="str">
        <f t="shared" si="67"/>
        <v/>
      </c>
      <c r="AW135" s="20" t="str">
        <f t="shared" si="67"/>
        <v/>
      </c>
      <c r="AX135" s="20" t="str">
        <f t="shared" si="67"/>
        <v/>
      </c>
    </row>
    <row r="136" ht="39.75" customHeight="1">
      <c r="A136" s="13" t="str">
        <f>'Настройки'!B16</f>
        <v>Концепция 3</v>
      </c>
      <c r="B136" s="19" t="str">
        <f>IF(COUNT('Эксперт 1'!B64)=0,"",'Эксперт 1'!B64)</f>
        <v/>
      </c>
      <c r="C136" s="19" t="str">
        <f>IF(COUNT('Эксперт 1'!C64)=0,"",'Эксперт 1'!C64)</f>
        <v/>
      </c>
      <c r="D136" s="19">
        <f>IF(COUNT('Эксперт 1'!D64)=0,"",'Эксперт 1'!D64)</f>
        <v>1</v>
      </c>
      <c r="E136" s="19" t="str">
        <f>IF(COUNT('Эксперт 1'!E64)=0,"",'Эксперт 1'!E64)</f>
        <v/>
      </c>
      <c r="F136" s="19" t="str">
        <f t="shared" si="64"/>
        <v/>
      </c>
      <c r="G136" s="19" t="str">
        <f t="shared" si="65"/>
        <v/>
      </c>
      <c r="H136" s="20"/>
      <c r="I136" s="20"/>
      <c r="J136" s="20" t="str">
        <f t="shared" si="66"/>
        <v/>
      </c>
      <c r="K136" s="20" t="str">
        <f t="shared" ref="K136:AX136" si="68">IF(J136="","",($B136*J$134+$C136*J$135+$D136*J$136+$E136*J$137)/SUM(J$134:J$137))</f>
        <v/>
      </c>
      <c r="L136" s="20" t="str">
        <f t="shared" si="68"/>
        <v/>
      </c>
      <c r="M136" s="20" t="str">
        <f t="shared" si="68"/>
        <v/>
      </c>
      <c r="N136" s="20" t="str">
        <f t="shared" si="68"/>
        <v/>
      </c>
      <c r="O136" s="20" t="str">
        <f t="shared" si="68"/>
        <v/>
      </c>
      <c r="P136" s="20" t="str">
        <f t="shared" si="68"/>
        <v/>
      </c>
      <c r="Q136" s="20" t="str">
        <f t="shared" si="68"/>
        <v/>
      </c>
      <c r="R136" s="20" t="str">
        <f t="shared" si="68"/>
        <v/>
      </c>
      <c r="S136" s="20" t="str">
        <f t="shared" si="68"/>
        <v/>
      </c>
      <c r="T136" s="20" t="str">
        <f t="shared" si="68"/>
        <v/>
      </c>
      <c r="U136" s="20" t="str">
        <f t="shared" si="68"/>
        <v/>
      </c>
      <c r="V136" s="20" t="str">
        <f t="shared" si="68"/>
        <v/>
      </c>
      <c r="W136" s="20" t="str">
        <f t="shared" si="68"/>
        <v/>
      </c>
      <c r="X136" s="20" t="str">
        <f t="shared" si="68"/>
        <v/>
      </c>
      <c r="Y136" s="20" t="str">
        <f t="shared" si="68"/>
        <v/>
      </c>
      <c r="Z136" s="20" t="str">
        <f t="shared" si="68"/>
        <v/>
      </c>
      <c r="AA136" s="20" t="str">
        <f t="shared" si="68"/>
        <v/>
      </c>
      <c r="AB136" s="20" t="str">
        <f t="shared" si="68"/>
        <v/>
      </c>
      <c r="AC136" s="20" t="str">
        <f t="shared" si="68"/>
        <v/>
      </c>
      <c r="AD136" s="20" t="str">
        <f t="shared" si="68"/>
        <v/>
      </c>
      <c r="AE136" s="20" t="str">
        <f t="shared" si="68"/>
        <v/>
      </c>
      <c r="AF136" s="20" t="str">
        <f t="shared" si="68"/>
        <v/>
      </c>
      <c r="AG136" s="20" t="str">
        <f t="shared" si="68"/>
        <v/>
      </c>
      <c r="AH136" s="20" t="str">
        <f t="shared" si="68"/>
        <v/>
      </c>
      <c r="AI136" s="20" t="str">
        <f t="shared" si="68"/>
        <v/>
      </c>
      <c r="AJ136" s="20" t="str">
        <f t="shared" si="68"/>
        <v/>
      </c>
      <c r="AK136" s="20" t="str">
        <f t="shared" si="68"/>
        <v/>
      </c>
      <c r="AL136" s="20" t="str">
        <f t="shared" si="68"/>
        <v/>
      </c>
      <c r="AM136" s="20" t="str">
        <f t="shared" si="68"/>
        <v/>
      </c>
      <c r="AN136" s="20" t="str">
        <f t="shared" si="68"/>
        <v/>
      </c>
      <c r="AO136" s="20" t="str">
        <f t="shared" si="68"/>
        <v/>
      </c>
      <c r="AP136" s="20" t="str">
        <f t="shared" si="68"/>
        <v/>
      </c>
      <c r="AQ136" s="20" t="str">
        <f t="shared" si="68"/>
        <v/>
      </c>
      <c r="AR136" s="20" t="str">
        <f t="shared" si="68"/>
        <v/>
      </c>
      <c r="AS136" s="20" t="str">
        <f t="shared" si="68"/>
        <v/>
      </c>
      <c r="AT136" s="20" t="str">
        <f t="shared" si="68"/>
        <v/>
      </c>
      <c r="AU136" s="20" t="str">
        <f t="shared" si="68"/>
        <v/>
      </c>
      <c r="AV136" s="20" t="str">
        <f t="shared" si="68"/>
        <v/>
      </c>
      <c r="AW136" s="20" t="str">
        <f t="shared" si="68"/>
        <v/>
      </c>
      <c r="AX136" s="20" t="str">
        <f t="shared" si="68"/>
        <v/>
      </c>
    </row>
    <row r="137" ht="39.75" customHeight="1">
      <c r="A137" s="13" t="str">
        <f>'Настройки'!B17</f>
        <v>Концепция 4</v>
      </c>
      <c r="B137" s="19" t="str">
        <f>IF(COUNT('Эксперт 1'!B65)=0,"",'Эксперт 1'!B65)</f>
        <v/>
      </c>
      <c r="C137" s="19" t="str">
        <f>IF(COUNT('Эксперт 1'!C65)=0,"",'Эксперт 1'!C65)</f>
        <v/>
      </c>
      <c r="D137" s="19" t="str">
        <f>IF(COUNT('Эксперт 1'!D65)=0,"",'Эксперт 1'!D65)</f>
        <v/>
      </c>
      <c r="E137" s="19">
        <f>IF(COUNT('Эксперт 1'!E65)=0,"",'Эксперт 1'!E65)</f>
        <v>1</v>
      </c>
      <c r="F137" s="19" t="str">
        <f t="shared" si="64"/>
        <v/>
      </c>
      <c r="G137" s="19" t="str">
        <f t="shared" si="65"/>
        <v/>
      </c>
      <c r="H137" s="20"/>
      <c r="I137" s="20"/>
      <c r="J137" s="20" t="str">
        <f t="shared" si="66"/>
        <v/>
      </c>
      <c r="K137" s="20" t="str">
        <f t="shared" ref="K137:AX137" si="69">IF(J137="","",($B137*J$134+$C137*J$135+$D137*J$136+$E137*J$137)/SUM(J$134:J$137))</f>
        <v/>
      </c>
      <c r="L137" s="20" t="str">
        <f t="shared" si="69"/>
        <v/>
      </c>
      <c r="M137" s="20" t="str">
        <f t="shared" si="69"/>
        <v/>
      </c>
      <c r="N137" s="20" t="str">
        <f t="shared" si="69"/>
        <v/>
      </c>
      <c r="O137" s="20" t="str">
        <f t="shared" si="69"/>
        <v/>
      </c>
      <c r="P137" s="20" t="str">
        <f t="shared" si="69"/>
        <v/>
      </c>
      <c r="Q137" s="20" t="str">
        <f t="shared" si="69"/>
        <v/>
      </c>
      <c r="R137" s="20" t="str">
        <f t="shared" si="69"/>
        <v/>
      </c>
      <c r="S137" s="20" t="str">
        <f t="shared" si="69"/>
        <v/>
      </c>
      <c r="T137" s="20" t="str">
        <f t="shared" si="69"/>
        <v/>
      </c>
      <c r="U137" s="20" t="str">
        <f t="shared" si="69"/>
        <v/>
      </c>
      <c r="V137" s="20" t="str">
        <f t="shared" si="69"/>
        <v/>
      </c>
      <c r="W137" s="20" t="str">
        <f t="shared" si="69"/>
        <v/>
      </c>
      <c r="X137" s="20" t="str">
        <f t="shared" si="69"/>
        <v/>
      </c>
      <c r="Y137" s="20" t="str">
        <f t="shared" si="69"/>
        <v/>
      </c>
      <c r="Z137" s="20" t="str">
        <f t="shared" si="69"/>
        <v/>
      </c>
      <c r="AA137" s="20" t="str">
        <f t="shared" si="69"/>
        <v/>
      </c>
      <c r="AB137" s="20" t="str">
        <f t="shared" si="69"/>
        <v/>
      </c>
      <c r="AC137" s="20" t="str">
        <f t="shared" si="69"/>
        <v/>
      </c>
      <c r="AD137" s="20" t="str">
        <f t="shared" si="69"/>
        <v/>
      </c>
      <c r="AE137" s="20" t="str">
        <f t="shared" si="69"/>
        <v/>
      </c>
      <c r="AF137" s="20" t="str">
        <f t="shared" si="69"/>
        <v/>
      </c>
      <c r="AG137" s="20" t="str">
        <f t="shared" si="69"/>
        <v/>
      </c>
      <c r="AH137" s="20" t="str">
        <f t="shared" si="69"/>
        <v/>
      </c>
      <c r="AI137" s="20" t="str">
        <f t="shared" si="69"/>
        <v/>
      </c>
      <c r="AJ137" s="20" t="str">
        <f t="shared" si="69"/>
        <v/>
      </c>
      <c r="AK137" s="20" t="str">
        <f t="shared" si="69"/>
        <v/>
      </c>
      <c r="AL137" s="20" t="str">
        <f t="shared" si="69"/>
        <v/>
      </c>
      <c r="AM137" s="20" t="str">
        <f t="shared" si="69"/>
        <v/>
      </c>
      <c r="AN137" s="20" t="str">
        <f t="shared" si="69"/>
        <v/>
      </c>
      <c r="AO137" s="20" t="str">
        <f t="shared" si="69"/>
        <v/>
      </c>
      <c r="AP137" s="20" t="str">
        <f t="shared" si="69"/>
        <v/>
      </c>
      <c r="AQ137" s="20" t="str">
        <f t="shared" si="69"/>
        <v/>
      </c>
      <c r="AR137" s="20" t="str">
        <f t="shared" si="69"/>
        <v/>
      </c>
      <c r="AS137" s="20" t="str">
        <f t="shared" si="69"/>
        <v/>
      </c>
      <c r="AT137" s="20" t="str">
        <f t="shared" si="69"/>
        <v/>
      </c>
      <c r="AU137" s="20" t="str">
        <f t="shared" si="69"/>
        <v/>
      </c>
      <c r="AV137" s="20" t="str">
        <f t="shared" si="69"/>
        <v/>
      </c>
      <c r="AW137" s="20" t="str">
        <f t="shared" si="69"/>
        <v/>
      </c>
      <c r="AX137" s="20" t="str">
        <f t="shared" si="69"/>
        <v/>
      </c>
    </row>
    <row r="138" ht="22.5" customHeight="1">
      <c r="A138" s="1"/>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row>
    <row r="139" ht="22.5" customHeight="1">
      <c r="A139" s="1" t="s">
        <v>281</v>
      </c>
      <c r="B139" s="20" t="s">
        <v>282</v>
      </c>
      <c r="C139" s="20" t="s">
        <v>283</v>
      </c>
      <c r="D139" s="20" t="s">
        <v>284</v>
      </c>
      <c r="E139" s="20" t="s">
        <v>285</v>
      </c>
      <c r="F139" s="20" t="s">
        <v>286</v>
      </c>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row>
    <row r="140" ht="22.5" customHeight="1">
      <c r="A140" s="1"/>
      <c r="B140" s="20" t="str">
        <f>IF(COUNT(C140)=0,"",C140/'Настройки'!$B$32)</f>
        <v/>
      </c>
      <c r="C140" s="20" t="str">
        <f>IF(D140="","",MAX(0,(D140-4)/3))</f>
        <v/>
      </c>
      <c r="D140" s="20" t="str">
        <f>IF(COUNT(G134:G137)&lt;4,"",AVERAGE(G134:G137))</f>
        <v/>
      </c>
      <c r="E140" s="20" t="str">
        <f>IF(D140="","",SUM(F134:F137))</f>
        <v/>
      </c>
      <c r="F140" s="20" t="str">
        <f>IF(D140="","",MAX(ABS((G134-$D$140)*F134),ABS((G135-$D$140)*F135),ABS((G136-$D$140)*F136),ABS((G137-$D$140)*F137)))</f>
        <v/>
      </c>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row>
    <row r="141" ht="22.5" customHeight="1">
      <c r="A141" s="1"/>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row>
    <row r="142" ht="22.5" customHeight="1">
      <c r="A142" s="1" t="str">
        <f>IF(COUNT(B140)=0,"Нет оценок",IF(F140&gt;0.00000001,"Недостаточная сходимость",IF(B140&lt;='Настройки'!$B$31,"Согласовано","Пересмотреть сравнения")))</f>
        <v>Нет оценок</v>
      </c>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row>
    <row r="143" ht="22.5" customHeight="1">
      <c r="A143" s="1"/>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row>
    <row r="144" ht="22.5" customHeight="1">
      <c r="A144" s="1"/>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row>
    <row r="145" ht="22.5" customHeight="1">
      <c r="A145" s="1"/>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row>
    <row r="146" ht="22.5" customHeight="1">
      <c r="A146" s="1" t="s">
        <v>302</v>
      </c>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row>
    <row r="147" ht="54.0" customHeight="1">
      <c r="A147" s="3" t="s">
        <v>279</v>
      </c>
      <c r="B147" s="21" t="str">
        <f>'Настройки'!B14</f>
        <v>Детейлинг-центр</v>
      </c>
      <c r="C147" s="21" t="str">
        <f>'Настройки'!B15</f>
        <v>Планировщик покупок</v>
      </c>
      <c r="D147" s="21" t="str">
        <f>'Настройки'!B16</f>
        <v>Концепция 3</v>
      </c>
      <c r="E147" s="21" t="str">
        <f>'Настройки'!B17</f>
        <v>Концепция 4</v>
      </c>
      <c r="F147" s="21" t="s">
        <v>274</v>
      </c>
      <c r="G147" s="21" t="s">
        <v>280</v>
      </c>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row>
    <row r="148" ht="39.75" customHeight="1">
      <c r="A148" s="13" t="str">
        <f>'Настройки'!B14</f>
        <v>Детейлинг-центр</v>
      </c>
      <c r="B148" s="19">
        <f>IF(COUNT('Эксперт 1'!B74)=0,"",'Эксперт 1'!B74)</f>
        <v>1</v>
      </c>
      <c r="C148" s="19" t="str">
        <f>IF(COUNT('Эксперт 1'!C74)=0,"",'Эксперт 1'!C74)</f>
        <v/>
      </c>
      <c r="D148" s="19" t="str">
        <f>IF(COUNT('Эксперт 1'!D74)=0,"",'Эксперт 1'!D74)</f>
        <v/>
      </c>
      <c r="E148" s="19" t="str">
        <f>IF(COUNT('Эксперт 1'!E74)=0,"",'Эксперт 1'!E74)</f>
        <v/>
      </c>
      <c r="F148" s="19" t="str">
        <f t="shared" ref="F148:F151" si="71">IF(AX148="","",AX148/SUM(AX$148:AX$151))</f>
        <v/>
      </c>
      <c r="G148" s="19" t="str">
        <f t="shared" ref="G148:G151" si="72">IF(F148="","",(B148*$F$148+C148*$F$149+D148*$F$150+E148*$F$151)/F148)</f>
        <v/>
      </c>
      <c r="H148" s="20"/>
      <c r="I148" s="20"/>
      <c r="J148" s="20" t="str">
        <f t="shared" ref="J148:J151" si="73">IF(COUNT($B$148:$E$151)&lt;16,"",1/4)</f>
        <v/>
      </c>
      <c r="K148" s="20" t="str">
        <f t="shared" ref="K148:AX148" si="70">IF(J148="","",($B148*J$148+$C148*J$149+$D148*J$150+$E148*J$151)/SUM(J$148:J$151))</f>
        <v/>
      </c>
      <c r="L148" s="20" t="str">
        <f t="shared" si="70"/>
        <v/>
      </c>
      <c r="M148" s="20" t="str">
        <f t="shared" si="70"/>
        <v/>
      </c>
      <c r="N148" s="20" t="str">
        <f t="shared" si="70"/>
        <v/>
      </c>
      <c r="O148" s="20" t="str">
        <f t="shared" si="70"/>
        <v/>
      </c>
      <c r="P148" s="20" t="str">
        <f t="shared" si="70"/>
        <v/>
      </c>
      <c r="Q148" s="20" t="str">
        <f t="shared" si="70"/>
        <v/>
      </c>
      <c r="R148" s="20" t="str">
        <f t="shared" si="70"/>
        <v/>
      </c>
      <c r="S148" s="20" t="str">
        <f t="shared" si="70"/>
        <v/>
      </c>
      <c r="T148" s="20" t="str">
        <f t="shared" si="70"/>
        <v/>
      </c>
      <c r="U148" s="20" t="str">
        <f t="shared" si="70"/>
        <v/>
      </c>
      <c r="V148" s="20" t="str">
        <f t="shared" si="70"/>
        <v/>
      </c>
      <c r="W148" s="20" t="str">
        <f t="shared" si="70"/>
        <v/>
      </c>
      <c r="X148" s="20" t="str">
        <f t="shared" si="70"/>
        <v/>
      </c>
      <c r="Y148" s="20" t="str">
        <f t="shared" si="70"/>
        <v/>
      </c>
      <c r="Z148" s="20" t="str">
        <f t="shared" si="70"/>
        <v/>
      </c>
      <c r="AA148" s="20" t="str">
        <f t="shared" si="70"/>
        <v/>
      </c>
      <c r="AB148" s="20" t="str">
        <f t="shared" si="70"/>
        <v/>
      </c>
      <c r="AC148" s="20" t="str">
        <f t="shared" si="70"/>
        <v/>
      </c>
      <c r="AD148" s="20" t="str">
        <f t="shared" si="70"/>
        <v/>
      </c>
      <c r="AE148" s="20" t="str">
        <f t="shared" si="70"/>
        <v/>
      </c>
      <c r="AF148" s="20" t="str">
        <f t="shared" si="70"/>
        <v/>
      </c>
      <c r="AG148" s="20" t="str">
        <f t="shared" si="70"/>
        <v/>
      </c>
      <c r="AH148" s="20" t="str">
        <f t="shared" si="70"/>
        <v/>
      </c>
      <c r="AI148" s="20" t="str">
        <f t="shared" si="70"/>
        <v/>
      </c>
      <c r="AJ148" s="20" t="str">
        <f t="shared" si="70"/>
        <v/>
      </c>
      <c r="AK148" s="20" t="str">
        <f t="shared" si="70"/>
        <v/>
      </c>
      <c r="AL148" s="20" t="str">
        <f t="shared" si="70"/>
        <v/>
      </c>
      <c r="AM148" s="20" t="str">
        <f t="shared" si="70"/>
        <v/>
      </c>
      <c r="AN148" s="20" t="str">
        <f t="shared" si="70"/>
        <v/>
      </c>
      <c r="AO148" s="20" t="str">
        <f t="shared" si="70"/>
        <v/>
      </c>
      <c r="AP148" s="20" t="str">
        <f t="shared" si="70"/>
        <v/>
      </c>
      <c r="AQ148" s="20" t="str">
        <f t="shared" si="70"/>
        <v/>
      </c>
      <c r="AR148" s="20" t="str">
        <f t="shared" si="70"/>
        <v/>
      </c>
      <c r="AS148" s="20" t="str">
        <f t="shared" si="70"/>
        <v/>
      </c>
      <c r="AT148" s="20" t="str">
        <f t="shared" si="70"/>
        <v/>
      </c>
      <c r="AU148" s="20" t="str">
        <f t="shared" si="70"/>
        <v/>
      </c>
      <c r="AV148" s="20" t="str">
        <f t="shared" si="70"/>
        <v/>
      </c>
      <c r="AW148" s="20" t="str">
        <f t="shared" si="70"/>
        <v/>
      </c>
      <c r="AX148" s="20" t="str">
        <f t="shared" si="70"/>
        <v/>
      </c>
    </row>
    <row r="149" ht="39.75" customHeight="1">
      <c r="A149" s="13" t="str">
        <f>'Настройки'!B15</f>
        <v>Планировщик покупок</v>
      </c>
      <c r="B149" s="19" t="str">
        <f>IF(COUNT('Эксперт 1'!B75)=0,"",'Эксперт 1'!B75)</f>
        <v/>
      </c>
      <c r="C149" s="19">
        <f>IF(COUNT('Эксперт 1'!C75)=0,"",'Эксперт 1'!C75)</f>
        <v>1</v>
      </c>
      <c r="D149" s="19" t="str">
        <f>IF(COUNT('Эксперт 1'!D75)=0,"",'Эксперт 1'!D75)</f>
        <v/>
      </c>
      <c r="E149" s="19" t="str">
        <f>IF(COUNT('Эксперт 1'!E75)=0,"",'Эксперт 1'!E75)</f>
        <v/>
      </c>
      <c r="F149" s="19" t="str">
        <f t="shared" si="71"/>
        <v/>
      </c>
      <c r="G149" s="19" t="str">
        <f t="shared" si="72"/>
        <v/>
      </c>
      <c r="H149" s="20"/>
      <c r="I149" s="20"/>
      <c r="J149" s="20" t="str">
        <f t="shared" si="73"/>
        <v/>
      </c>
      <c r="K149" s="20" t="str">
        <f t="shared" ref="K149:AX149" si="74">IF(J149="","",($B149*J$148+$C149*J$149+$D149*J$150+$E149*J$151)/SUM(J$148:J$151))</f>
        <v/>
      </c>
      <c r="L149" s="20" t="str">
        <f t="shared" si="74"/>
        <v/>
      </c>
      <c r="M149" s="20" t="str">
        <f t="shared" si="74"/>
        <v/>
      </c>
      <c r="N149" s="20" t="str">
        <f t="shared" si="74"/>
        <v/>
      </c>
      <c r="O149" s="20" t="str">
        <f t="shared" si="74"/>
        <v/>
      </c>
      <c r="P149" s="20" t="str">
        <f t="shared" si="74"/>
        <v/>
      </c>
      <c r="Q149" s="20" t="str">
        <f t="shared" si="74"/>
        <v/>
      </c>
      <c r="R149" s="20" t="str">
        <f t="shared" si="74"/>
        <v/>
      </c>
      <c r="S149" s="20" t="str">
        <f t="shared" si="74"/>
        <v/>
      </c>
      <c r="T149" s="20" t="str">
        <f t="shared" si="74"/>
        <v/>
      </c>
      <c r="U149" s="20" t="str">
        <f t="shared" si="74"/>
        <v/>
      </c>
      <c r="V149" s="20" t="str">
        <f t="shared" si="74"/>
        <v/>
      </c>
      <c r="W149" s="20" t="str">
        <f t="shared" si="74"/>
        <v/>
      </c>
      <c r="X149" s="20" t="str">
        <f t="shared" si="74"/>
        <v/>
      </c>
      <c r="Y149" s="20" t="str">
        <f t="shared" si="74"/>
        <v/>
      </c>
      <c r="Z149" s="20" t="str">
        <f t="shared" si="74"/>
        <v/>
      </c>
      <c r="AA149" s="20" t="str">
        <f t="shared" si="74"/>
        <v/>
      </c>
      <c r="AB149" s="20" t="str">
        <f t="shared" si="74"/>
        <v/>
      </c>
      <c r="AC149" s="20" t="str">
        <f t="shared" si="74"/>
        <v/>
      </c>
      <c r="AD149" s="20" t="str">
        <f t="shared" si="74"/>
        <v/>
      </c>
      <c r="AE149" s="20" t="str">
        <f t="shared" si="74"/>
        <v/>
      </c>
      <c r="AF149" s="20" t="str">
        <f t="shared" si="74"/>
        <v/>
      </c>
      <c r="AG149" s="20" t="str">
        <f t="shared" si="74"/>
        <v/>
      </c>
      <c r="AH149" s="20" t="str">
        <f t="shared" si="74"/>
        <v/>
      </c>
      <c r="AI149" s="20" t="str">
        <f t="shared" si="74"/>
        <v/>
      </c>
      <c r="AJ149" s="20" t="str">
        <f t="shared" si="74"/>
        <v/>
      </c>
      <c r="AK149" s="20" t="str">
        <f t="shared" si="74"/>
        <v/>
      </c>
      <c r="AL149" s="20" t="str">
        <f t="shared" si="74"/>
        <v/>
      </c>
      <c r="AM149" s="20" t="str">
        <f t="shared" si="74"/>
        <v/>
      </c>
      <c r="AN149" s="20" t="str">
        <f t="shared" si="74"/>
        <v/>
      </c>
      <c r="AO149" s="20" t="str">
        <f t="shared" si="74"/>
        <v/>
      </c>
      <c r="AP149" s="20" t="str">
        <f t="shared" si="74"/>
        <v/>
      </c>
      <c r="AQ149" s="20" t="str">
        <f t="shared" si="74"/>
        <v/>
      </c>
      <c r="AR149" s="20" t="str">
        <f t="shared" si="74"/>
        <v/>
      </c>
      <c r="AS149" s="20" t="str">
        <f t="shared" si="74"/>
        <v/>
      </c>
      <c r="AT149" s="20" t="str">
        <f t="shared" si="74"/>
        <v/>
      </c>
      <c r="AU149" s="20" t="str">
        <f t="shared" si="74"/>
        <v/>
      </c>
      <c r="AV149" s="20" t="str">
        <f t="shared" si="74"/>
        <v/>
      </c>
      <c r="AW149" s="20" t="str">
        <f t="shared" si="74"/>
        <v/>
      </c>
      <c r="AX149" s="20" t="str">
        <f t="shared" si="74"/>
        <v/>
      </c>
    </row>
    <row r="150" ht="39.75" customHeight="1">
      <c r="A150" s="13" t="str">
        <f>'Настройки'!B16</f>
        <v>Концепция 3</v>
      </c>
      <c r="B150" s="19" t="str">
        <f>IF(COUNT('Эксперт 1'!B76)=0,"",'Эксперт 1'!B76)</f>
        <v/>
      </c>
      <c r="C150" s="19" t="str">
        <f>IF(COUNT('Эксперт 1'!C76)=0,"",'Эксперт 1'!C76)</f>
        <v/>
      </c>
      <c r="D150" s="19">
        <f>IF(COUNT('Эксперт 1'!D76)=0,"",'Эксперт 1'!D76)</f>
        <v>1</v>
      </c>
      <c r="E150" s="19" t="str">
        <f>IF(COUNT('Эксперт 1'!E76)=0,"",'Эксперт 1'!E76)</f>
        <v/>
      </c>
      <c r="F150" s="19" t="str">
        <f t="shared" si="71"/>
        <v/>
      </c>
      <c r="G150" s="19" t="str">
        <f t="shared" si="72"/>
        <v/>
      </c>
      <c r="H150" s="20"/>
      <c r="I150" s="20"/>
      <c r="J150" s="20" t="str">
        <f t="shared" si="73"/>
        <v/>
      </c>
      <c r="K150" s="20" t="str">
        <f t="shared" ref="K150:AX150" si="75">IF(J150="","",($B150*J$148+$C150*J$149+$D150*J$150+$E150*J$151)/SUM(J$148:J$151))</f>
        <v/>
      </c>
      <c r="L150" s="20" t="str">
        <f t="shared" si="75"/>
        <v/>
      </c>
      <c r="M150" s="20" t="str">
        <f t="shared" si="75"/>
        <v/>
      </c>
      <c r="N150" s="20" t="str">
        <f t="shared" si="75"/>
        <v/>
      </c>
      <c r="O150" s="20" t="str">
        <f t="shared" si="75"/>
        <v/>
      </c>
      <c r="P150" s="20" t="str">
        <f t="shared" si="75"/>
        <v/>
      </c>
      <c r="Q150" s="20" t="str">
        <f t="shared" si="75"/>
        <v/>
      </c>
      <c r="R150" s="20" t="str">
        <f t="shared" si="75"/>
        <v/>
      </c>
      <c r="S150" s="20" t="str">
        <f t="shared" si="75"/>
        <v/>
      </c>
      <c r="T150" s="20" t="str">
        <f t="shared" si="75"/>
        <v/>
      </c>
      <c r="U150" s="20" t="str">
        <f t="shared" si="75"/>
        <v/>
      </c>
      <c r="V150" s="20" t="str">
        <f t="shared" si="75"/>
        <v/>
      </c>
      <c r="W150" s="20" t="str">
        <f t="shared" si="75"/>
        <v/>
      </c>
      <c r="X150" s="20" t="str">
        <f t="shared" si="75"/>
        <v/>
      </c>
      <c r="Y150" s="20" t="str">
        <f t="shared" si="75"/>
        <v/>
      </c>
      <c r="Z150" s="20" t="str">
        <f t="shared" si="75"/>
        <v/>
      </c>
      <c r="AA150" s="20" t="str">
        <f t="shared" si="75"/>
        <v/>
      </c>
      <c r="AB150" s="20" t="str">
        <f t="shared" si="75"/>
        <v/>
      </c>
      <c r="AC150" s="20" t="str">
        <f t="shared" si="75"/>
        <v/>
      </c>
      <c r="AD150" s="20" t="str">
        <f t="shared" si="75"/>
        <v/>
      </c>
      <c r="AE150" s="20" t="str">
        <f t="shared" si="75"/>
        <v/>
      </c>
      <c r="AF150" s="20" t="str">
        <f t="shared" si="75"/>
        <v/>
      </c>
      <c r="AG150" s="20" t="str">
        <f t="shared" si="75"/>
        <v/>
      </c>
      <c r="AH150" s="20" t="str">
        <f t="shared" si="75"/>
        <v/>
      </c>
      <c r="AI150" s="20" t="str">
        <f t="shared" si="75"/>
        <v/>
      </c>
      <c r="AJ150" s="20" t="str">
        <f t="shared" si="75"/>
        <v/>
      </c>
      <c r="AK150" s="20" t="str">
        <f t="shared" si="75"/>
        <v/>
      </c>
      <c r="AL150" s="20" t="str">
        <f t="shared" si="75"/>
        <v/>
      </c>
      <c r="AM150" s="20" t="str">
        <f t="shared" si="75"/>
        <v/>
      </c>
      <c r="AN150" s="20" t="str">
        <f t="shared" si="75"/>
        <v/>
      </c>
      <c r="AO150" s="20" t="str">
        <f t="shared" si="75"/>
        <v/>
      </c>
      <c r="AP150" s="20" t="str">
        <f t="shared" si="75"/>
        <v/>
      </c>
      <c r="AQ150" s="20" t="str">
        <f t="shared" si="75"/>
        <v/>
      </c>
      <c r="AR150" s="20" t="str">
        <f t="shared" si="75"/>
        <v/>
      </c>
      <c r="AS150" s="20" t="str">
        <f t="shared" si="75"/>
        <v/>
      </c>
      <c r="AT150" s="20" t="str">
        <f t="shared" si="75"/>
        <v/>
      </c>
      <c r="AU150" s="20" t="str">
        <f t="shared" si="75"/>
        <v/>
      </c>
      <c r="AV150" s="20" t="str">
        <f t="shared" si="75"/>
        <v/>
      </c>
      <c r="AW150" s="20" t="str">
        <f t="shared" si="75"/>
        <v/>
      </c>
      <c r="AX150" s="20" t="str">
        <f t="shared" si="75"/>
        <v/>
      </c>
    </row>
    <row r="151" ht="39.75" customHeight="1">
      <c r="A151" s="13" t="str">
        <f>'Настройки'!B17</f>
        <v>Концепция 4</v>
      </c>
      <c r="B151" s="19" t="str">
        <f>IF(COUNT('Эксперт 1'!B77)=0,"",'Эксперт 1'!B77)</f>
        <v/>
      </c>
      <c r="C151" s="19" t="str">
        <f>IF(COUNT('Эксперт 1'!C77)=0,"",'Эксперт 1'!C77)</f>
        <v/>
      </c>
      <c r="D151" s="19" t="str">
        <f>IF(COUNT('Эксперт 1'!D77)=0,"",'Эксперт 1'!D77)</f>
        <v/>
      </c>
      <c r="E151" s="19">
        <f>IF(COUNT('Эксперт 1'!E77)=0,"",'Эксперт 1'!E77)</f>
        <v>1</v>
      </c>
      <c r="F151" s="19" t="str">
        <f t="shared" si="71"/>
        <v/>
      </c>
      <c r="G151" s="19" t="str">
        <f t="shared" si="72"/>
        <v/>
      </c>
      <c r="H151" s="20"/>
      <c r="I151" s="20"/>
      <c r="J151" s="20" t="str">
        <f t="shared" si="73"/>
        <v/>
      </c>
      <c r="K151" s="20" t="str">
        <f t="shared" ref="K151:AX151" si="76">IF(J151="","",($B151*J$148+$C151*J$149+$D151*J$150+$E151*J$151)/SUM(J$148:J$151))</f>
        <v/>
      </c>
      <c r="L151" s="20" t="str">
        <f t="shared" si="76"/>
        <v/>
      </c>
      <c r="M151" s="20" t="str">
        <f t="shared" si="76"/>
        <v/>
      </c>
      <c r="N151" s="20" t="str">
        <f t="shared" si="76"/>
        <v/>
      </c>
      <c r="O151" s="20" t="str">
        <f t="shared" si="76"/>
        <v/>
      </c>
      <c r="P151" s="20" t="str">
        <f t="shared" si="76"/>
        <v/>
      </c>
      <c r="Q151" s="20" t="str">
        <f t="shared" si="76"/>
        <v/>
      </c>
      <c r="R151" s="20" t="str">
        <f t="shared" si="76"/>
        <v/>
      </c>
      <c r="S151" s="20" t="str">
        <f t="shared" si="76"/>
        <v/>
      </c>
      <c r="T151" s="20" t="str">
        <f t="shared" si="76"/>
        <v/>
      </c>
      <c r="U151" s="20" t="str">
        <f t="shared" si="76"/>
        <v/>
      </c>
      <c r="V151" s="20" t="str">
        <f t="shared" si="76"/>
        <v/>
      </c>
      <c r="W151" s="20" t="str">
        <f t="shared" si="76"/>
        <v/>
      </c>
      <c r="X151" s="20" t="str">
        <f t="shared" si="76"/>
        <v/>
      </c>
      <c r="Y151" s="20" t="str">
        <f t="shared" si="76"/>
        <v/>
      </c>
      <c r="Z151" s="20" t="str">
        <f t="shared" si="76"/>
        <v/>
      </c>
      <c r="AA151" s="20" t="str">
        <f t="shared" si="76"/>
        <v/>
      </c>
      <c r="AB151" s="20" t="str">
        <f t="shared" si="76"/>
        <v/>
      </c>
      <c r="AC151" s="20" t="str">
        <f t="shared" si="76"/>
        <v/>
      </c>
      <c r="AD151" s="20" t="str">
        <f t="shared" si="76"/>
        <v/>
      </c>
      <c r="AE151" s="20" t="str">
        <f t="shared" si="76"/>
        <v/>
      </c>
      <c r="AF151" s="20" t="str">
        <f t="shared" si="76"/>
        <v/>
      </c>
      <c r="AG151" s="20" t="str">
        <f t="shared" si="76"/>
        <v/>
      </c>
      <c r="AH151" s="20" t="str">
        <f t="shared" si="76"/>
        <v/>
      </c>
      <c r="AI151" s="20" t="str">
        <f t="shared" si="76"/>
        <v/>
      </c>
      <c r="AJ151" s="20" t="str">
        <f t="shared" si="76"/>
        <v/>
      </c>
      <c r="AK151" s="20" t="str">
        <f t="shared" si="76"/>
        <v/>
      </c>
      <c r="AL151" s="20" t="str">
        <f t="shared" si="76"/>
        <v/>
      </c>
      <c r="AM151" s="20" t="str">
        <f t="shared" si="76"/>
        <v/>
      </c>
      <c r="AN151" s="20" t="str">
        <f t="shared" si="76"/>
        <v/>
      </c>
      <c r="AO151" s="20" t="str">
        <f t="shared" si="76"/>
        <v/>
      </c>
      <c r="AP151" s="20" t="str">
        <f t="shared" si="76"/>
        <v/>
      </c>
      <c r="AQ151" s="20" t="str">
        <f t="shared" si="76"/>
        <v/>
      </c>
      <c r="AR151" s="20" t="str">
        <f t="shared" si="76"/>
        <v/>
      </c>
      <c r="AS151" s="20" t="str">
        <f t="shared" si="76"/>
        <v/>
      </c>
      <c r="AT151" s="20" t="str">
        <f t="shared" si="76"/>
        <v/>
      </c>
      <c r="AU151" s="20" t="str">
        <f t="shared" si="76"/>
        <v/>
      </c>
      <c r="AV151" s="20" t="str">
        <f t="shared" si="76"/>
        <v/>
      </c>
      <c r="AW151" s="20" t="str">
        <f t="shared" si="76"/>
        <v/>
      </c>
      <c r="AX151" s="20" t="str">
        <f t="shared" si="76"/>
        <v/>
      </c>
    </row>
    <row r="152" ht="22.5" customHeight="1">
      <c r="A152" s="1"/>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row>
    <row r="153" ht="22.5" customHeight="1">
      <c r="A153" s="1" t="s">
        <v>281</v>
      </c>
      <c r="B153" s="20" t="s">
        <v>282</v>
      </c>
      <c r="C153" s="20" t="s">
        <v>283</v>
      </c>
      <c r="D153" s="20" t="s">
        <v>284</v>
      </c>
      <c r="E153" s="20" t="s">
        <v>285</v>
      </c>
      <c r="F153" s="20" t="s">
        <v>286</v>
      </c>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row>
    <row r="154" ht="22.5" customHeight="1">
      <c r="A154" s="1"/>
      <c r="B154" s="20" t="str">
        <f>IF(COUNT(C154)=0,"",C154/'Настройки'!$B$32)</f>
        <v/>
      </c>
      <c r="C154" s="20" t="str">
        <f>IF(D154="","",MAX(0,(D154-4)/3))</f>
        <v/>
      </c>
      <c r="D154" s="20" t="str">
        <f>IF(COUNT(G148:G151)&lt;4,"",AVERAGE(G148:G151))</f>
        <v/>
      </c>
      <c r="E154" s="20" t="str">
        <f>IF(D154="","",SUM(F148:F151))</f>
        <v/>
      </c>
      <c r="F154" s="20" t="str">
        <f>IF(D154="","",MAX(ABS((G148-$D$154)*F148),ABS((G149-$D$154)*F149),ABS((G150-$D$154)*F150),ABS((G151-$D$154)*F151)))</f>
        <v/>
      </c>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row>
    <row r="155" ht="22.5" customHeight="1">
      <c r="A155" s="1"/>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row>
    <row r="156" ht="22.5" customHeight="1">
      <c r="A156" s="1" t="str">
        <f>IF(COUNT(B154)=0,"Нет оценок",IF(F154&gt;0.00000001,"Недостаточная сходимость",IF(B154&lt;='Настройки'!$B$31,"Согласовано","Пересмотреть сравнения")))</f>
        <v>Нет оценок</v>
      </c>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row>
    <row r="157" ht="22.5" customHeight="1">
      <c r="A157" s="1"/>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row>
    <row r="158" ht="22.5" customHeight="1">
      <c r="A158" s="1"/>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row>
    <row r="159" ht="22.5" customHeight="1">
      <c r="A159" s="1"/>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row>
    <row r="160" ht="22.5" customHeight="1">
      <c r="A160" s="1" t="s">
        <v>303</v>
      </c>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row>
    <row r="161" ht="54.0" customHeight="1">
      <c r="A161" s="3" t="s">
        <v>279</v>
      </c>
      <c r="B161" s="21" t="str">
        <f>'Настройки'!B21</f>
        <v>Практическая полезность</v>
      </c>
      <c r="C161" s="21" t="str">
        <f>'Настройки'!B22</f>
        <v>Простота реализации</v>
      </c>
      <c r="D161" s="21" t="str">
        <f>'Настройки'!B23</f>
        <v>Удобство оценки и планирования</v>
      </c>
      <c r="E161" s="21" t="str">
        <f>'Настройки'!B24</f>
        <v>Интерес команды</v>
      </c>
      <c r="F161" s="21" t="s">
        <v>274</v>
      </c>
      <c r="G161" s="21" t="s">
        <v>280</v>
      </c>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row>
    <row r="162" ht="39.75" customHeight="1">
      <c r="A162" s="13" t="str">
        <f>'Настройки'!B21</f>
        <v>Практическая полезность</v>
      </c>
      <c r="B162" s="19">
        <f>IF(COUNT('Эксперт 2'!B26)=0,"",'Эксперт 2'!B26)</f>
        <v>1</v>
      </c>
      <c r="C162" s="19" t="str">
        <f>IF(COUNT('Эксперт 2'!C26)=0,"",'Эксперт 2'!C26)</f>
        <v/>
      </c>
      <c r="D162" s="19" t="str">
        <f>IF(COUNT('Эксперт 2'!D26)=0,"",'Эксперт 2'!D26)</f>
        <v/>
      </c>
      <c r="E162" s="19" t="str">
        <f>IF(COUNT('Эксперт 2'!E26)=0,"",'Эксперт 2'!E26)</f>
        <v/>
      </c>
      <c r="F162" s="19" t="str">
        <f t="shared" ref="F162:F165" si="78">IF(AX162="","",AX162/SUM(AX$162:AX$165))</f>
        <v/>
      </c>
      <c r="G162" s="19" t="str">
        <f t="shared" ref="G162:G165" si="79">IF(F162="","",(B162*$F$162+C162*$F$163+D162*$F$164+E162*$F$165)/F162)</f>
        <v/>
      </c>
      <c r="H162" s="20"/>
      <c r="I162" s="20"/>
      <c r="J162" s="20" t="str">
        <f t="shared" ref="J162:J165" si="80">IF(COUNT($B$162:$E$165)&lt;16,"",1/4)</f>
        <v/>
      </c>
      <c r="K162" s="20" t="str">
        <f t="shared" ref="K162:AX162" si="77">IF(J162="","",($B162*J$162+$C162*J$163+$D162*J$164+$E162*J$165)/SUM(J$162:J$165))</f>
        <v/>
      </c>
      <c r="L162" s="20" t="str">
        <f t="shared" si="77"/>
        <v/>
      </c>
      <c r="M162" s="20" t="str">
        <f t="shared" si="77"/>
        <v/>
      </c>
      <c r="N162" s="20" t="str">
        <f t="shared" si="77"/>
        <v/>
      </c>
      <c r="O162" s="20" t="str">
        <f t="shared" si="77"/>
        <v/>
      </c>
      <c r="P162" s="20" t="str">
        <f t="shared" si="77"/>
        <v/>
      </c>
      <c r="Q162" s="20" t="str">
        <f t="shared" si="77"/>
        <v/>
      </c>
      <c r="R162" s="20" t="str">
        <f t="shared" si="77"/>
        <v/>
      </c>
      <c r="S162" s="20" t="str">
        <f t="shared" si="77"/>
        <v/>
      </c>
      <c r="T162" s="20" t="str">
        <f t="shared" si="77"/>
        <v/>
      </c>
      <c r="U162" s="20" t="str">
        <f t="shared" si="77"/>
        <v/>
      </c>
      <c r="V162" s="20" t="str">
        <f t="shared" si="77"/>
        <v/>
      </c>
      <c r="W162" s="20" t="str">
        <f t="shared" si="77"/>
        <v/>
      </c>
      <c r="X162" s="20" t="str">
        <f t="shared" si="77"/>
        <v/>
      </c>
      <c r="Y162" s="20" t="str">
        <f t="shared" si="77"/>
        <v/>
      </c>
      <c r="Z162" s="20" t="str">
        <f t="shared" si="77"/>
        <v/>
      </c>
      <c r="AA162" s="20" t="str">
        <f t="shared" si="77"/>
        <v/>
      </c>
      <c r="AB162" s="20" t="str">
        <f t="shared" si="77"/>
        <v/>
      </c>
      <c r="AC162" s="20" t="str">
        <f t="shared" si="77"/>
        <v/>
      </c>
      <c r="AD162" s="20" t="str">
        <f t="shared" si="77"/>
        <v/>
      </c>
      <c r="AE162" s="20" t="str">
        <f t="shared" si="77"/>
        <v/>
      </c>
      <c r="AF162" s="20" t="str">
        <f t="shared" si="77"/>
        <v/>
      </c>
      <c r="AG162" s="20" t="str">
        <f t="shared" si="77"/>
        <v/>
      </c>
      <c r="AH162" s="20" t="str">
        <f t="shared" si="77"/>
        <v/>
      </c>
      <c r="AI162" s="20" t="str">
        <f t="shared" si="77"/>
        <v/>
      </c>
      <c r="AJ162" s="20" t="str">
        <f t="shared" si="77"/>
        <v/>
      </c>
      <c r="AK162" s="20" t="str">
        <f t="shared" si="77"/>
        <v/>
      </c>
      <c r="AL162" s="20" t="str">
        <f t="shared" si="77"/>
        <v/>
      </c>
      <c r="AM162" s="20" t="str">
        <f t="shared" si="77"/>
        <v/>
      </c>
      <c r="AN162" s="20" t="str">
        <f t="shared" si="77"/>
        <v/>
      </c>
      <c r="AO162" s="20" t="str">
        <f t="shared" si="77"/>
        <v/>
      </c>
      <c r="AP162" s="20" t="str">
        <f t="shared" si="77"/>
        <v/>
      </c>
      <c r="AQ162" s="20" t="str">
        <f t="shared" si="77"/>
        <v/>
      </c>
      <c r="AR162" s="20" t="str">
        <f t="shared" si="77"/>
        <v/>
      </c>
      <c r="AS162" s="20" t="str">
        <f t="shared" si="77"/>
        <v/>
      </c>
      <c r="AT162" s="20" t="str">
        <f t="shared" si="77"/>
        <v/>
      </c>
      <c r="AU162" s="20" t="str">
        <f t="shared" si="77"/>
        <v/>
      </c>
      <c r="AV162" s="20" t="str">
        <f t="shared" si="77"/>
        <v/>
      </c>
      <c r="AW162" s="20" t="str">
        <f t="shared" si="77"/>
        <v/>
      </c>
      <c r="AX162" s="20" t="str">
        <f t="shared" si="77"/>
        <v/>
      </c>
    </row>
    <row r="163" ht="39.75" customHeight="1">
      <c r="A163" s="13" t="str">
        <f>'Настройки'!B22</f>
        <v>Простота реализации</v>
      </c>
      <c r="B163" s="19" t="str">
        <f>IF(COUNT('Эксперт 2'!B27)=0,"",'Эксперт 2'!B27)</f>
        <v/>
      </c>
      <c r="C163" s="19">
        <f>IF(COUNT('Эксперт 2'!C27)=0,"",'Эксперт 2'!C27)</f>
        <v>1</v>
      </c>
      <c r="D163" s="19" t="str">
        <f>IF(COUNT('Эксперт 2'!D27)=0,"",'Эксперт 2'!D27)</f>
        <v/>
      </c>
      <c r="E163" s="19" t="str">
        <f>IF(COUNT('Эксперт 2'!E27)=0,"",'Эксперт 2'!E27)</f>
        <v/>
      </c>
      <c r="F163" s="19" t="str">
        <f t="shared" si="78"/>
        <v/>
      </c>
      <c r="G163" s="19" t="str">
        <f t="shared" si="79"/>
        <v/>
      </c>
      <c r="H163" s="20"/>
      <c r="I163" s="20"/>
      <c r="J163" s="20" t="str">
        <f t="shared" si="80"/>
        <v/>
      </c>
      <c r="K163" s="20" t="str">
        <f t="shared" ref="K163:AX163" si="81">IF(J163="","",($B163*J$162+$C163*J$163+$D163*J$164+$E163*J$165)/SUM(J$162:J$165))</f>
        <v/>
      </c>
      <c r="L163" s="20" t="str">
        <f t="shared" si="81"/>
        <v/>
      </c>
      <c r="M163" s="20" t="str">
        <f t="shared" si="81"/>
        <v/>
      </c>
      <c r="N163" s="20" t="str">
        <f t="shared" si="81"/>
        <v/>
      </c>
      <c r="O163" s="20" t="str">
        <f t="shared" si="81"/>
        <v/>
      </c>
      <c r="P163" s="20" t="str">
        <f t="shared" si="81"/>
        <v/>
      </c>
      <c r="Q163" s="20" t="str">
        <f t="shared" si="81"/>
        <v/>
      </c>
      <c r="R163" s="20" t="str">
        <f t="shared" si="81"/>
        <v/>
      </c>
      <c r="S163" s="20" t="str">
        <f t="shared" si="81"/>
        <v/>
      </c>
      <c r="T163" s="20" t="str">
        <f t="shared" si="81"/>
        <v/>
      </c>
      <c r="U163" s="20" t="str">
        <f t="shared" si="81"/>
        <v/>
      </c>
      <c r="V163" s="20" t="str">
        <f t="shared" si="81"/>
        <v/>
      </c>
      <c r="W163" s="20" t="str">
        <f t="shared" si="81"/>
        <v/>
      </c>
      <c r="X163" s="20" t="str">
        <f t="shared" si="81"/>
        <v/>
      </c>
      <c r="Y163" s="20" t="str">
        <f t="shared" si="81"/>
        <v/>
      </c>
      <c r="Z163" s="20" t="str">
        <f t="shared" si="81"/>
        <v/>
      </c>
      <c r="AA163" s="20" t="str">
        <f t="shared" si="81"/>
        <v/>
      </c>
      <c r="AB163" s="20" t="str">
        <f t="shared" si="81"/>
        <v/>
      </c>
      <c r="AC163" s="20" t="str">
        <f t="shared" si="81"/>
        <v/>
      </c>
      <c r="AD163" s="20" t="str">
        <f t="shared" si="81"/>
        <v/>
      </c>
      <c r="AE163" s="20" t="str">
        <f t="shared" si="81"/>
        <v/>
      </c>
      <c r="AF163" s="20" t="str">
        <f t="shared" si="81"/>
        <v/>
      </c>
      <c r="AG163" s="20" t="str">
        <f t="shared" si="81"/>
        <v/>
      </c>
      <c r="AH163" s="20" t="str">
        <f t="shared" si="81"/>
        <v/>
      </c>
      <c r="AI163" s="20" t="str">
        <f t="shared" si="81"/>
        <v/>
      </c>
      <c r="AJ163" s="20" t="str">
        <f t="shared" si="81"/>
        <v/>
      </c>
      <c r="AK163" s="20" t="str">
        <f t="shared" si="81"/>
        <v/>
      </c>
      <c r="AL163" s="20" t="str">
        <f t="shared" si="81"/>
        <v/>
      </c>
      <c r="AM163" s="20" t="str">
        <f t="shared" si="81"/>
        <v/>
      </c>
      <c r="AN163" s="20" t="str">
        <f t="shared" si="81"/>
        <v/>
      </c>
      <c r="AO163" s="20" t="str">
        <f t="shared" si="81"/>
        <v/>
      </c>
      <c r="AP163" s="20" t="str">
        <f t="shared" si="81"/>
        <v/>
      </c>
      <c r="AQ163" s="20" t="str">
        <f t="shared" si="81"/>
        <v/>
      </c>
      <c r="AR163" s="20" t="str">
        <f t="shared" si="81"/>
        <v/>
      </c>
      <c r="AS163" s="20" t="str">
        <f t="shared" si="81"/>
        <v/>
      </c>
      <c r="AT163" s="20" t="str">
        <f t="shared" si="81"/>
        <v/>
      </c>
      <c r="AU163" s="20" t="str">
        <f t="shared" si="81"/>
        <v/>
      </c>
      <c r="AV163" s="20" t="str">
        <f t="shared" si="81"/>
        <v/>
      </c>
      <c r="AW163" s="20" t="str">
        <f t="shared" si="81"/>
        <v/>
      </c>
      <c r="AX163" s="20" t="str">
        <f t="shared" si="81"/>
        <v/>
      </c>
    </row>
    <row r="164" ht="39.75" customHeight="1">
      <c r="A164" s="13" t="str">
        <f>'Настройки'!B23</f>
        <v>Удобство оценки и планирования</v>
      </c>
      <c r="B164" s="19" t="str">
        <f>IF(COUNT('Эксперт 2'!B28)=0,"",'Эксперт 2'!B28)</f>
        <v/>
      </c>
      <c r="C164" s="19" t="str">
        <f>IF(COUNT('Эксперт 2'!C28)=0,"",'Эксперт 2'!C28)</f>
        <v/>
      </c>
      <c r="D164" s="19">
        <f>IF(COUNT('Эксперт 2'!D28)=0,"",'Эксперт 2'!D28)</f>
        <v>1</v>
      </c>
      <c r="E164" s="19" t="str">
        <f>IF(COUNT('Эксперт 2'!E28)=0,"",'Эксперт 2'!E28)</f>
        <v/>
      </c>
      <c r="F164" s="19" t="str">
        <f t="shared" si="78"/>
        <v/>
      </c>
      <c r="G164" s="19" t="str">
        <f t="shared" si="79"/>
        <v/>
      </c>
      <c r="H164" s="20"/>
      <c r="I164" s="20"/>
      <c r="J164" s="20" t="str">
        <f t="shared" si="80"/>
        <v/>
      </c>
      <c r="K164" s="20" t="str">
        <f t="shared" ref="K164:AX164" si="82">IF(J164="","",($B164*J$162+$C164*J$163+$D164*J$164+$E164*J$165)/SUM(J$162:J$165))</f>
        <v/>
      </c>
      <c r="L164" s="20" t="str">
        <f t="shared" si="82"/>
        <v/>
      </c>
      <c r="M164" s="20" t="str">
        <f t="shared" si="82"/>
        <v/>
      </c>
      <c r="N164" s="20" t="str">
        <f t="shared" si="82"/>
        <v/>
      </c>
      <c r="O164" s="20" t="str">
        <f t="shared" si="82"/>
        <v/>
      </c>
      <c r="P164" s="20" t="str">
        <f t="shared" si="82"/>
        <v/>
      </c>
      <c r="Q164" s="20" t="str">
        <f t="shared" si="82"/>
        <v/>
      </c>
      <c r="R164" s="20" t="str">
        <f t="shared" si="82"/>
        <v/>
      </c>
      <c r="S164" s="20" t="str">
        <f t="shared" si="82"/>
        <v/>
      </c>
      <c r="T164" s="20" t="str">
        <f t="shared" si="82"/>
        <v/>
      </c>
      <c r="U164" s="20" t="str">
        <f t="shared" si="82"/>
        <v/>
      </c>
      <c r="V164" s="20" t="str">
        <f t="shared" si="82"/>
        <v/>
      </c>
      <c r="W164" s="20" t="str">
        <f t="shared" si="82"/>
        <v/>
      </c>
      <c r="X164" s="20" t="str">
        <f t="shared" si="82"/>
        <v/>
      </c>
      <c r="Y164" s="20" t="str">
        <f t="shared" si="82"/>
        <v/>
      </c>
      <c r="Z164" s="20" t="str">
        <f t="shared" si="82"/>
        <v/>
      </c>
      <c r="AA164" s="20" t="str">
        <f t="shared" si="82"/>
        <v/>
      </c>
      <c r="AB164" s="20" t="str">
        <f t="shared" si="82"/>
        <v/>
      </c>
      <c r="AC164" s="20" t="str">
        <f t="shared" si="82"/>
        <v/>
      </c>
      <c r="AD164" s="20" t="str">
        <f t="shared" si="82"/>
        <v/>
      </c>
      <c r="AE164" s="20" t="str">
        <f t="shared" si="82"/>
        <v/>
      </c>
      <c r="AF164" s="20" t="str">
        <f t="shared" si="82"/>
        <v/>
      </c>
      <c r="AG164" s="20" t="str">
        <f t="shared" si="82"/>
        <v/>
      </c>
      <c r="AH164" s="20" t="str">
        <f t="shared" si="82"/>
        <v/>
      </c>
      <c r="AI164" s="20" t="str">
        <f t="shared" si="82"/>
        <v/>
      </c>
      <c r="AJ164" s="20" t="str">
        <f t="shared" si="82"/>
        <v/>
      </c>
      <c r="AK164" s="20" t="str">
        <f t="shared" si="82"/>
        <v/>
      </c>
      <c r="AL164" s="20" t="str">
        <f t="shared" si="82"/>
        <v/>
      </c>
      <c r="AM164" s="20" t="str">
        <f t="shared" si="82"/>
        <v/>
      </c>
      <c r="AN164" s="20" t="str">
        <f t="shared" si="82"/>
        <v/>
      </c>
      <c r="AO164" s="20" t="str">
        <f t="shared" si="82"/>
        <v/>
      </c>
      <c r="AP164" s="20" t="str">
        <f t="shared" si="82"/>
        <v/>
      </c>
      <c r="AQ164" s="20" t="str">
        <f t="shared" si="82"/>
        <v/>
      </c>
      <c r="AR164" s="20" t="str">
        <f t="shared" si="82"/>
        <v/>
      </c>
      <c r="AS164" s="20" t="str">
        <f t="shared" si="82"/>
        <v/>
      </c>
      <c r="AT164" s="20" t="str">
        <f t="shared" si="82"/>
        <v/>
      </c>
      <c r="AU164" s="20" t="str">
        <f t="shared" si="82"/>
        <v/>
      </c>
      <c r="AV164" s="20" t="str">
        <f t="shared" si="82"/>
        <v/>
      </c>
      <c r="AW164" s="20" t="str">
        <f t="shared" si="82"/>
        <v/>
      </c>
      <c r="AX164" s="20" t="str">
        <f t="shared" si="82"/>
        <v/>
      </c>
    </row>
    <row r="165" ht="39.75" customHeight="1">
      <c r="A165" s="13" t="str">
        <f>'Настройки'!B24</f>
        <v>Интерес команды</v>
      </c>
      <c r="B165" s="19" t="str">
        <f>IF(COUNT('Эксперт 2'!B29)=0,"",'Эксперт 2'!B29)</f>
        <v/>
      </c>
      <c r="C165" s="19" t="str">
        <f>IF(COUNT('Эксперт 2'!C29)=0,"",'Эксперт 2'!C29)</f>
        <v/>
      </c>
      <c r="D165" s="19" t="str">
        <f>IF(COUNT('Эксперт 2'!D29)=0,"",'Эксперт 2'!D29)</f>
        <v/>
      </c>
      <c r="E165" s="19">
        <f>IF(COUNT('Эксперт 2'!E29)=0,"",'Эксперт 2'!E29)</f>
        <v>1</v>
      </c>
      <c r="F165" s="19" t="str">
        <f t="shared" si="78"/>
        <v/>
      </c>
      <c r="G165" s="19" t="str">
        <f t="shared" si="79"/>
        <v/>
      </c>
      <c r="H165" s="20"/>
      <c r="I165" s="20"/>
      <c r="J165" s="20" t="str">
        <f t="shared" si="80"/>
        <v/>
      </c>
      <c r="K165" s="20" t="str">
        <f t="shared" ref="K165:AX165" si="83">IF(J165="","",($B165*J$162+$C165*J$163+$D165*J$164+$E165*J$165)/SUM(J$162:J$165))</f>
        <v/>
      </c>
      <c r="L165" s="20" t="str">
        <f t="shared" si="83"/>
        <v/>
      </c>
      <c r="M165" s="20" t="str">
        <f t="shared" si="83"/>
        <v/>
      </c>
      <c r="N165" s="20" t="str">
        <f t="shared" si="83"/>
        <v/>
      </c>
      <c r="O165" s="20" t="str">
        <f t="shared" si="83"/>
        <v/>
      </c>
      <c r="P165" s="20" t="str">
        <f t="shared" si="83"/>
        <v/>
      </c>
      <c r="Q165" s="20" t="str">
        <f t="shared" si="83"/>
        <v/>
      </c>
      <c r="R165" s="20" t="str">
        <f t="shared" si="83"/>
        <v/>
      </c>
      <c r="S165" s="20" t="str">
        <f t="shared" si="83"/>
        <v/>
      </c>
      <c r="T165" s="20" t="str">
        <f t="shared" si="83"/>
        <v/>
      </c>
      <c r="U165" s="20" t="str">
        <f t="shared" si="83"/>
        <v/>
      </c>
      <c r="V165" s="20" t="str">
        <f t="shared" si="83"/>
        <v/>
      </c>
      <c r="W165" s="20" t="str">
        <f t="shared" si="83"/>
        <v/>
      </c>
      <c r="X165" s="20" t="str">
        <f t="shared" si="83"/>
        <v/>
      </c>
      <c r="Y165" s="20" t="str">
        <f t="shared" si="83"/>
        <v/>
      </c>
      <c r="Z165" s="20" t="str">
        <f t="shared" si="83"/>
        <v/>
      </c>
      <c r="AA165" s="20" t="str">
        <f t="shared" si="83"/>
        <v/>
      </c>
      <c r="AB165" s="20" t="str">
        <f t="shared" si="83"/>
        <v/>
      </c>
      <c r="AC165" s="20" t="str">
        <f t="shared" si="83"/>
        <v/>
      </c>
      <c r="AD165" s="20" t="str">
        <f t="shared" si="83"/>
        <v/>
      </c>
      <c r="AE165" s="20" t="str">
        <f t="shared" si="83"/>
        <v/>
      </c>
      <c r="AF165" s="20" t="str">
        <f t="shared" si="83"/>
        <v/>
      </c>
      <c r="AG165" s="20" t="str">
        <f t="shared" si="83"/>
        <v/>
      </c>
      <c r="AH165" s="20" t="str">
        <f t="shared" si="83"/>
        <v/>
      </c>
      <c r="AI165" s="20" t="str">
        <f t="shared" si="83"/>
        <v/>
      </c>
      <c r="AJ165" s="20" t="str">
        <f t="shared" si="83"/>
        <v/>
      </c>
      <c r="AK165" s="20" t="str">
        <f t="shared" si="83"/>
        <v/>
      </c>
      <c r="AL165" s="20" t="str">
        <f t="shared" si="83"/>
        <v/>
      </c>
      <c r="AM165" s="20" t="str">
        <f t="shared" si="83"/>
        <v/>
      </c>
      <c r="AN165" s="20" t="str">
        <f t="shared" si="83"/>
        <v/>
      </c>
      <c r="AO165" s="20" t="str">
        <f t="shared" si="83"/>
        <v/>
      </c>
      <c r="AP165" s="20" t="str">
        <f t="shared" si="83"/>
        <v/>
      </c>
      <c r="AQ165" s="20" t="str">
        <f t="shared" si="83"/>
        <v/>
      </c>
      <c r="AR165" s="20" t="str">
        <f t="shared" si="83"/>
        <v/>
      </c>
      <c r="AS165" s="20" t="str">
        <f t="shared" si="83"/>
        <v/>
      </c>
      <c r="AT165" s="20" t="str">
        <f t="shared" si="83"/>
        <v/>
      </c>
      <c r="AU165" s="20" t="str">
        <f t="shared" si="83"/>
        <v/>
      </c>
      <c r="AV165" s="20" t="str">
        <f t="shared" si="83"/>
        <v/>
      </c>
      <c r="AW165" s="20" t="str">
        <f t="shared" si="83"/>
        <v/>
      </c>
      <c r="AX165" s="20" t="str">
        <f t="shared" si="83"/>
        <v/>
      </c>
    </row>
    <row r="166" ht="22.5" customHeight="1">
      <c r="A166" s="1"/>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row>
    <row r="167" ht="22.5" customHeight="1">
      <c r="A167" s="1" t="s">
        <v>281</v>
      </c>
      <c r="B167" s="20" t="s">
        <v>282</v>
      </c>
      <c r="C167" s="20" t="s">
        <v>283</v>
      </c>
      <c r="D167" s="20" t="s">
        <v>284</v>
      </c>
      <c r="E167" s="20" t="s">
        <v>285</v>
      </c>
      <c r="F167" s="20" t="s">
        <v>286</v>
      </c>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row>
    <row r="168" ht="22.5" customHeight="1">
      <c r="A168" s="1"/>
      <c r="B168" s="20" t="str">
        <f>IF(COUNT(C168)=0,"",C168/'Настройки'!$B$32)</f>
        <v/>
      </c>
      <c r="C168" s="20" t="str">
        <f>IF(D168="","",MAX(0,(D168-4)/3))</f>
        <v/>
      </c>
      <c r="D168" s="20" t="str">
        <f>IF(COUNT(G162:G165)&lt;4,"",AVERAGE(G162:G165))</f>
        <v/>
      </c>
      <c r="E168" s="20" t="str">
        <f>IF(D168="","",SUM(F162:F165))</f>
        <v/>
      </c>
      <c r="F168" s="20" t="str">
        <f>IF(D168="","",MAX(ABS((G162-$D$168)*F162),ABS((G163-$D$168)*F163),ABS((G164-$D$168)*F164),ABS((G165-$D$168)*F165)))</f>
        <v/>
      </c>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row>
    <row r="169" ht="22.5" customHeight="1">
      <c r="A169" s="1"/>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row>
    <row r="170" ht="22.5" customHeight="1">
      <c r="A170" s="1" t="str">
        <f>IF(COUNT(B168)=0,"Нет оценок",IF(F168&gt;0.00000001,"Недостаточная сходимость",IF(B168&lt;='Настройки'!$B$31,"Согласовано","Пересмотреть сравнения")))</f>
        <v>Нет оценок</v>
      </c>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row>
    <row r="171" ht="22.5" customHeight="1">
      <c r="A171" s="1"/>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row>
    <row r="172" ht="22.5" customHeight="1">
      <c r="A172" s="1"/>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row>
    <row r="173" ht="22.5" customHeight="1">
      <c r="A173" s="1"/>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row>
    <row r="174" ht="22.5" customHeight="1">
      <c r="A174" s="1" t="s">
        <v>304</v>
      </c>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row>
    <row r="175" ht="54.0" customHeight="1">
      <c r="A175" s="3" t="s">
        <v>279</v>
      </c>
      <c r="B175" s="21" t="str">
        <f>'Настройки'!B14</f>
        <v>Детейлинг-центр</v>
      </c>
      <c r="C175" s="21" t="str">
        <f>'Настройки'!B15</f>
        <v>Планировщик покупок</v>
      </c>
      <c r="D175" s="21" t="str">
        <f>'Настройки'!B16</f>
        <v>Концепция 3</v>
      </c>
      <c r="E175" s="21" t="str">
        <f>'Настройки'!B17</f>
        <v>Концепция 4</v>
      </c>
      <c r="F175" s="21" t="s">
        <v>274</v>
      </c>
      <c r="G175" s="21" t="s">
        <v>280</v>
      </c>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row>
    <row r="176" ht="39.75" customHeight="1">
      <c r="A176" s="13" t="str">
        <f>'Настройки'!B14</f>
        <v>Детейлинг-центр</v>
      </c>
      <c r="B176" s="19">
        <f>IF(COUNT('Эксперт 2'!B38)=0,"",'Эксперт 2'!B38)</f>
        <v>1</v>
      </c>
      <c r="C176" s="19" t="str">
        <f>IF(COUNT('Эксперт 2'!C38)=0,"",'Эксперт 2'!C38)</f>
        <v/>
      </c>
      <c r="D176" s="19" t="str">
        <f>IF(COUNT('Эксперт 2'!D38)=0,"",'Эксперт 2'!D38)</f>
        <v/>
      </c>
      <c r="E176" s="19" t="str">
        <f>IF(COUNT('Эксперт 2'!E38)=0,"",'Эксперт 2'!E38)</f>
        <v/>
      </c>
      <c r="F176" s="19" t="str">
        <f t="shared" ref="F176:F179" si="85">IF(AX176="","",AX176/SUM(AX$176:AX$179))</f>
        <v/>
      </c>
      <c r="G176" s="19" t="str">
        <f t="shared" ref="G176:G179" si="86">IF(F176="","",(B176*$F$176+C176*$F$177+D176*$F$178+E176*$F$179)/F176)</f>
        <v/>
      </c>
      <c r="H176" s="20"/>
      <c r="I176" s="20"/>
      <c r="J176" s="20" t="str">
        <f t="shared" ref="J176:J179" si="87">IF(COUNT($B$176:$E$179)&lt;16,"",1/4)</f>
        <v/>
      </c>
      <c r="K176" s="20" t="str">
        <f t="shared" ref="K176:AX176" si="84">IF(J176="","",($B176*J$176+$C176*J$177+$D176*J$178+$E176*J$179)/SUM(J$176:J$179))</f>
        <v/>
      </c>
      <c r="L176" s="20" t="str">
        <f t="shared" si="84"/>
        <v/>
      </c>
      <c r="M176" s="20" t="str">
        <f t="shared" si="84"/>
        <v/>
      </c>
      <c r="N176" s="20" t="str">
        <f t="shared" si="84"/>
        <v/>
      </c>
      <c r="O176" s="20" t="str">
        <f t="shared" si="84"/>
        <v/>
      </c>
      <c r="P176" s="20" t="str">
        <f t="shared" si="84"/>
        <v/>
      </c>
      <c r="Q176" s="20" t="str">
        <f t="shared" si="84"/>
        <v/>
      </c>
      <c r="R176" s="20" t="str">
        <f t="shared" si="84"/>
        <v/>
      </c>
      <c r="S176" s="20" t="str">
        <f t="shared" si="84"/>
        <v/>
      </c>
      <c r="T176" s="20" t="str">
        <f t="shared" si="84"/>
        <v/>
      </c>
      <c r="U176" s="20" t="str">
        <f t="shared" si="84"/>
        <v/>
      </c>
      <c r="V176" s="20" t="str">
        <f t="shared" si="84"/>
        <v/>
      </c>
      <c r="W176" s="20" t="str">
        <f t="shared" si="84"/>
        <v/>
      </c>
      <c r="X176" s="20" t="str">
        <f t="shared" si="84"/>
        <v/>
      </c>
      <c r="Y176" s="20" t="str">
        <f t="shared" si="84"/>
        <v/>
      </c>
      <c r="Z176" s="20" t="str">
        <f t="shared" si="84"/>
        <v/>
      </c>
      <c r="AA176" s="20" t="str">
        <f t="shared" si="84"/>
        <v/>
      </c>
      <c r="AB176" s="20" t="str">
        <f t="shared" si="84"/>
        <v/>
      </c>
      <c r="AC176" s="20" t="str">
        <f t="shared" si="84"/>
        <v/>
      </c>
      <c r="AD176" s="20" t="str">
        <f t="shared" si="84"/>
        <v/>
      </c>
      <c r="AE176" s="20" t="str">
        <f t="shared" si="84"/>
        <v/>
      </c>
      <c r="AF176" s="20" t="str">
        <f t="shared" si="84"/>
        <v/>
      </c>
      <c r="AG176" s="20" t="str">
        <f t="shared" si="84"/>
        <v/>
      </c>
      <c r="AH176" s="20" t="str">
        <f t="shared" si="84"/>
        <v/>
      </c>
      <c r="AI176" s="20" t="str">
        <f t="shared" si="84"/>
        <v/>
      </c>
      <c r="AJ176" s="20" t="str">
        <f t="shared" si="84"/>
        <v/>
      </c>
      <c r="AK176" s="20" t="str">
        <f t="shared" si="84"/>
        <v/>
      </c>
      <c r="AL176" s="20" t="str">
        <f t="shared" si="84"/>
        <v/>
      </c>
      <c r="AM176" s="20" t="str">
        <f t="shared" si="84"/>
        <v/>
      </c>
      <c r="AN176" s="20" t="str">
        <f t="shared" si="84"/>
        <v/>
      </c>
      <c r="AO176" s="20" t="str">
        <f t="shared" si="84"/>
        <v/>
      </c>
      <c r="AP176" s="20" t="str">
        <f t="shared" si="84"/>
        <v/>
      </c>
      <c r="AQ176" s="20" t="str">
        <f t="shared" si="84"/>
        <v/>
      </c>
      <c r="AR176" s="20" t="str">
        <f t="shared" si="84"/>
        <v/>
      </c>
      <c r="AS176" s="20" t="str">
        <f t="shared" si="84"/>
        <v/>
      </c>
      <c r="AT176" s="20" t="str">
        <f t="shared" si="84"/>
        <v/>
      </c>
      <c r="AU176" s="20" t="str">
        <f t="shared" si="84"/>
        <v/>
      </c>
      <c r="AV176" s="20" t="str">
        <f t="shared" si="84"/>
        <v/>
      </c>
      <c r="AW176" s="20" t="str">
        <f t="shared" si="84"/>
        <v/>
      </c>
      <c r="AX176" s="20" t="str">
        <f t="shared" si="84"/>
        <v/>
      </c>
    </row>
    <row r="177" ht="39.75" customHeight="1">
      <c r="A177" s="13" t="str">
        <f>'Настройки'!B15</f>
        <v>Планировщик покупок</v>
      </c>
      <c r="B177" s="19" t="str">
        <f>IF(COUNT('Эксперт 2'!B39)=0,"",'Эксперт 2'!B39)</f>
        <v/>
      </c>
      <c r="C177" s="19">
        <f>IF(COUNT('Эксперт 2'!C39)=0,"",'Эксперт 2'!C39)</f>
        <v>1</v>
      </c>
      <c r="D177" s="19" t="str">
        <f>IF(COUNT('Эксперт 2'!D39)=0,"",'Эксперт 2'!D39)</f>
        <v/>
      </c>
      <c r="E177" s="19" t="str">
        <f>IF(COUNT('Эксперт 2'!E39)=0,"",'Эксперт 2'!E39)</f>
        <v/>
      </c>
      <c r="F177" s="19" t="str">
        <f t="shared" si="85"/>
        <v/>
      </c>
      <c r="G177" s="19" t="str">
        <f t="shared" si="86"/>
        <v/>
      </c>
      <c r="H177" s="20"/>
      <c r="I177" s="20"/>
      <c r="J177" s="20" t="str">
        <f t="shared" si="87"/>
        <v/>
      </c>
      <c r="K177" s="20" t="str">
        <f t="shared" ref="K177:AX177" si="88">IF(J177="","",($B177*J$176+$C177*J$177+$D177*J$178+$E177*J$179)/SUM(J$176:J$179))</f>
        <v/>
      </c>
      <c r="L177" s="20" t="str">
        <f t="shared" si="88"/>
        <v/>
      </c>
      <c r="M177" s="20" t="str">
        <f t="shared" si="88"/>
        <v/>
      </c>
      <c r="N177" s="20" t="str">
        <f t="shared" si="88"/>
        <v/>
      </c>
      <c r="O177" s="20" t="str">
        <f t="shared" si="88"/>
        <v/>
      </c>
      <c r="P177" s="20" t="str">
        <f t="shared" si="88"/>
        <v/>
      </c>
      <c r="Q177" s="20" t="str">
        <f t="shared" si="88"/>
        <v/>
      </c>
      <c r="R177" s="20" t="str">
        <f t="shared" si="88"/>
        <v/>
      </c>
      <c r="S177" s="20" t="str">
        <f t="shared" si="88"/>
        <v/>
      </c>
      <c r="T177" s="20" t="str">
        <f t="shared" si="88"/>
        <v/>
      </c>
      <c r="U177" s="20" t="str">
        <f t="shared" si="88"/>
        <v/>
      </c>
      <c r="V177" s="20" t="str">
        <f t="shared" si="88"/>
        <v/>
      </c>
      <c r="W177" s="20" t="str">
        <f t="shared" si="88"/>
        <v/>
      </c>
      <c r="X177" s="20" t="str">
        <f t="shared" si="88"/>
        <v/>
      </c>
      <c r="Y177" s="20" t="str">
        <f t="shared" si="88"/>
        <v/>
      </c>
      <c r="Z177" s="20" t="str">
        <f t="shared" si="88"/>
        <v/>
      </c>
      <c r="AA177" s="20" t="str">
        <f t="shared" si="88"/>
        <v/>
      </c>
      <c r="AB177" s="20" t="str">
        <f t="shared" si="88"/>
        <v/>
      </c>
      <c r="AC177" s="20" t="str">
        <f t="shared" si="88"/>
        <v/>
      </c>
      <c r="AD177" s="20" t="str">
        <f t="shared" si="88"/>
        <v/>
      </c>
      <c r="AE177" s="20" t="str">
        <f t="shared" si="88"/>
        <v/>
      </c>
      <c r="AF177" s="20" t="str">
        <f t="shared" si="88"/>
        <v/>
      </c>
      <c r="AG177" s="20" t="str">
        <f t="shared" si="88"/>
        <v/>
      </c>
      <c r="AH177" s="20" t="str">
        <f t="shared" si="88"/>
        <v/>
      </c>
      <c r="AI177" s="20" t="str">
        <f t="shared" si="88"/>
        <v/>
      </c>
      <c r="AJ177" s="20" t="str">
        <f t="shared" si="88"/>
        <v/>
      </c>
      <c r="AK177" s="20" t="str">
        <f t="shared" si="88"/>
        <v/>
      </c>
      <c r="AL177" s="20" t="str">
        <f t="shared" si="88"/>
        <v/>
      </c>
      <c r="AM177" s="20" t="str">
        <f t="shared" si="88"/>
        <v/>
      </c>
      <c r="AN177" s="20" t="str">
        <f t="shared" si="88"/>
        <v/>
      </c>
      <c r="AO177" s="20" t="str">
        <f t="shared" si="88"/>
        <v/>
      </c>
      <c r="AP177" s="20" t="str">
        <f t="shared" si="88"/>
        <v/>
      </c>
      <c r="AQ177" s="20" t="str">
        <f t="shared" si="88"/>
        <v/>
      </c>
      <c r="AR177" s="20" t="str">
        <f t="shared" si="88"/>
        <v/>
      </c>
      <c r="AS177" s="20" t="str">
        <f t="shared" si="88"/>
        <v/>
      </c>
      <c r="AT177" s="20" t="str">
        <f t="shared" si="88"/>
        <v/>
      </c>
      <c r="AU177" s="20" t="str">
        <f t="shared" si="88"/>
        <v/>
      </c>
      <c r="AV177" s="20" t="str">
        <f t="shared" si="88"/>
        <v/>
      </c>
      <c r="AW177" s="20" t="str">
        <f t="shared" si="88"/>
        <v/>
      </c>
      <c r="AX177" s="20" t="str">
        <f t="shared" si="88"/>
        <v/>
      </c>
    </row>
    <row r="178" ht="39.75" customHeight="1">
      <c r="A178" s="13" t="str">
        <f>'Настройки'!B16</f>
        <v>Концепция 3</v>
      </c>
      <c r="B178" s="19" t="str">
        <f>IF(COUNT('Эксперт 2'!B40)=0,"",'Эксперт 2'!B40)</f>
        <v/>
      </c>
      <c r="C178" s="19" t="str">
        <f>IF(COUNT('Эксперт 2'!C40)=0,"",'Эксперт 2'!C40)</f>
        <v/>
      </c>
      <c r="D178" s="19">
        <f>IF(COUNT('Эксперт 2'!D40)=0,"",'Эксперт 2'!D40)</f>
        <v>1</v>
      </c>
      <c r="E178" s="19" t="str">
        <f>IF(COUNT('Эксперт 2'!E40)=0,"",'Эксперт 2'!E40)</f>
        <v/>
      </c>
      <c r="F178" s="19" t="str">
        <f t="shared" si="85"/>
        <v/>
      </c>
      <c r="G178" s="19" t="str">
        <f t="shared" si="86"/>
        <v/>
      </c>
      <c r="H178" s="20"/>
      <c r="I178" s="20"/>
      <c r="J178" s="20" t="str">
        <f t="shared" si="87"/>
        <v/>
      </c>
      <c r="K178" s="20" t="str">
        <f t="shared" ref="K178:AX178" si="89">IF(J178="","",($B178*J$176+$C178*J$177+$D178*J$178+$E178*J$179)/SUM(J$176:J$179))</f>
        <v/>
      </c>
      <c r="L178" s="20" t="str">
        <f t="shared" si="89"/>
        <v/>
      </c>
      <c r="M178" s="20" t="str">
        <f t="shared" si="89"/>
        <v/>
      </c>
      <c r="N178" s="20" t="str">
        <f t="shared" si="89"/>
        <v/>
      </c>
      <c r="O178" s="20" t="str">
        <f t="shared" si="89"/>
        <v/>
      </c>
      <c r="P178" s="20" t="str">
        <f t="shared" si="89"/>
        <v/>
      </c>
      <c r="Q178" s="20" t="str">
        <f t="shared" si="89"/>
        <v/>
      </c>
      <c r="R178" s="20" t="str">
        <f t="shared" si="89"/>
        <v/>
      </c>
      <c r="S178" s="20" t="str">
        <f t="shared" si="89"/>
        <v/>
      </c>
      <c r="T178" s="20" t="str">
        <f t="shared" si="89"/>
        <v/>
      </c>
      <c r="U178" s="20" t="str">
        <f t="shared" si="89"/>
        <v/>
      </c>
      <c r="V178" s="20" t="str">
        <f t="shared" si="89"/>
        <v/>
      </c>
      <c r="W178" s="20" t="str">
        <f t="shared" si="89"/>
        <v/>
      </c>
      <c r="X178" s="20" t="str">
        <f t="shared" si="89"/>
        <v/>
      </c>
      <c r="Y178" s="20" t="str">
        <f t="shared" si="89"/>
        <v/>
      </c>
      <c r="Z178" s="20" t="str">
        <f t="shared" si="89"/>
        <v/>
      </c>
      <c r="AA178" s="20" t="str">
        <f t="shared" si="89"/>
        <v/>
      </c>
      <c r="AB178" s="20" t="str">
        <f t="shared" si="89"/>
        <v/>
      </c>
      <c r="AC178" s="20" t="str">
        <f t="shared" si="89"/>
        <v/>
      </c>
      <c r="AD178" s="20" t="str">
        <f t="shared" si="89"/>
        <v/>
      </c>
      <c r="AE178" s="20" t="str">
        <f t="shared" si="89"/>
        <v/>
      </c>
      <c r="AF178" s="20" t="str">
        <f t="shared" si="89"/>
        <v/>
      </c>
      <c r="AG178" s="20" t="str">
        <f t="shared" si="89"/>
        <v/>
      </c>
      <c r="AH178" s="20" t="str">
        <f t="shared" si="89"/>
        <v/>
      </c>
      <c r="AI178" s="20" t="str">
        <f t="shared" si="89"/>
        <v/>
      </c>
      <c r="AJ178" s="20" t="str">
        <f t="shared" si="89"/>
        <v/>
      </c>
      <c r="AK178" s="20" t="str">
        <f t="shared" si="89"/>
        <v/>
      </c>
      <c r="AL178" s="20" t="str">
        <f t="shared" si="89"/>
        <v/>
      </c>
      <c r="AM178" s="20" t="str">
        <f t="shared" si="89"/>
        <v/>
      </c>
      <c r="AN178" s="20" t="str">
        <f t="shared" si="89"/>
        <v/>
      </c>
      <c r="AO178" s="20" t="str">
        <f t="shared" si="89"/>
        <v/>
      </c>
      <c r="AP178" s="20" t="str">
        <f t="shared" si="89"/>
        <v/>
      </c>
      <c r="AQ178" s="20" t="str">
        <f t="shared" si="89"/>
        <v/>
      </c>
      <c r="AR178" s="20" t="str">
        <f t="shared" si="89"/>
        <v/>
      </c>
      <c r="AS178" s="20" t="str">
        <f t="shared" si="89"/>
        <v/>
      </c>
      <c r="AT178" s="20" t="str">
        <f t="shared" si="89"/>
        <v/>
      </c>
      <c r="AU178" s="20" t="str">
        <f t="shared" si="89"/>
        <v/>
      </c>
      <c r="AV178" s="20" t="str">
        <f t="shared" si="89"/>
        <v/>
      </c>
      <c r="AW178" s="20" t="str">
        <f t="shared" si="89"/>
        <v/>
      </c>
      <c r="AX178" s="20" t="str">
        <f t="shared" si="89"/>
        <v/>
      </c>
    </row>
    <row r="179" ht="39.75" customHeight="1">
      <c r="A179" s="13" t="str">
        <f>'Настройки'!B17</f>
        <v>Концепция 4</v>
      </c>
      <c r="B179" s="19" t="str">
        <f>IF(COUNT('Эксперт 2'!B41)=0,"",'Эксперт 2'!B41)</f>
        <v/>
      </c>
      <c r="C179" s="19" t="str">
        <f>IF(COUNT('Эксперт 2'!C41)=0,"",'Эксперт 2'!C41)</f>
        <v/>
      </c>
      <c r="D179" s="19" t="str">
        <f>IF(COUNT('Эксперт 2'!D41)=0,"",'Эксперт 2'!D41)</f>
        <v/>
      </c>
      <c r="E179" s="19">
        <f>IF(COUNT('Эксперт 2'!E41)=0,"",'Эксперт 2'!E41)</f>
        <v>1</v>
      </c>
      <c r="F179" s="19" t="str">
        <f t="shared" si="85"/>
        <v/>
      </c>
      <c r="G179" s="19" t="str">
        <f t="shared" si="86"/>
        <v/>
      </c>
      <c r="H179" s="20"/>
      <c r="I179" s="20"/>
      <c r="J179" s="20" t="str">
        <f t="shared" si="87"/>
        <v/>
      </c>
      <c r="K179" s="20" t="str">
        <f t="shared" ref="K179:AX179" si="90">IF(J179="","",($B179*J$176+$C179*J$177+$D179*J$178+$E179*J$179)/SUM(J$176:J$179))</f>
        <v/>
      </c>
      <c r="L179" s="20" t="str">
        <f t="shared" si="90"/>
        <v/>
      </c>
      <c r="M179" s="20" t="str">
        <f t="shared" si="90"/>
        <v/>
      </c>
      <c r="N179" s="20" t="str">
        <f t="shared" si="90"/>
        <v/>
      </c>
      <c r="O179" s="20" t="str">
        <f t="shared" si="90"/>
        <v/>
      </c>
      <c r="P179" s="20" t="str">
        <f t="shared" si="90"/>
        <v/>
      </c>
      <c r="Q179" s="20" t="str">
        <f t="shared" si="90"/>
        <v/>
      </c>
      <c r="R179" s="20" t="str">
        <f t="shared" si="90"/>
        <v/>
      </c>
      <c r="S179" s="20" t="str">
        <f t="shared" si="90"/>
        <v/>
      </c>
      <c r="T179" s="20" t="str">
        <f t="shared" si="90"/>
        <v/>
      </c>
      <c r="U179" s="20" t="str">
        <f t="shared" si="90"/>
        <v/>
      </c>
      <c r="V179" s="20" t="str">
        <f t="shared" si="90"/>
        <v/>
      </c>
      <c r="W179" s="20" t="str">
        <f t="shared" si="90"/>
        <v/>
      </c>
      <c r="X179" s="20" t="str">
        <f t="shared" si="90"/>
        <v/>
      </c>
      <c r="Y179" s="20" t="str">
        <f t="shared" si="90"/>
        <v/>
      </c>
      <c r="Z179" s="20" t="str">
        <f t="shared" si="90"/>
        <v/>
      </c>
      <c r="AA179" s="20" t="str">
        <f t="shared" si="90"/>
        <v/>
      </c>
      <c r="AB179" s="20" t="str">
        <f t="shared" si="90"/>
        <v/>
      </c>
      <c r="AC179" s="20" t="str">
        <f t="shared" si="90"/>
        <v/>
      </c>
      <c r="AD179" s="20" t="str">
        <f t="shared" si="90"/>
        <v/>
      </c>
      <c r="AE179" s="20" t="str">
        <f t="shared" si="90"/>
        <v/>
      </c>
      <c r="AF179" s="20" t="str">
        <f t="shared" si="90"/>
        <v/>
      </c>
      <c r="AG179" s="20" t="str">
        <f t="shared" si="90"/>
        <v/>
      </c>
      <c r="AH179" s="20" t="str">
        <f t="shared" si="90"/>
        <v/>
      </c>
      <c r="AI179" s="20" t="str">
        <f t="shared" si="90"/>
        <v/>
      </c>
      <c r="AJ179" s="20" t="str">
        <f t="shared" si="90"/>
        <v/>
      </c>
      <c r="AK179" s="20" t="str">
        <f t="shared" si="90"/>
        <v/>
      </c>
      <c r="AL179" s="20" t="str">
        <f t="shared" si="90"/>
        <v/>
      </c>
      <c r="AM179" s="20" t="str">
        <f t="shared" si="90"/>
        <v/>
      </c>
      <c r="AN179" s="20" t="str">
        <f t="shared" si="90"/>
        <v/>
      </c>
      <c r="AO179" s="20" t="str">
        <f t="shared" si="90"/>
        <v/>
      </c>
      <c r="AP179" s="20" t="str">
        <f t="shared" si="90"/>
        <v/>
      </c>
      <c r="AQ179" s="20" t="str">
        <f t="shared" si="90"/>
        <v/>
      </c>
      <c r="AR179" s="20" t="str">
        <f t="shared" si="90"/>
        <v/>
      </c>
      <c r="AS179" s="20" t="str">
        <f t="shared" si="90"/>
        <v/>
      </c>
      <c r="AT179" s="20" t="str">
        <f t="shared" si="90"/>
        <v/>
      </c>
      <c r="AU179" s="20" t="str">
        <f t="shared" si="90"/>
        <v/>
      </c>
      <c r="AV179" s="20" t="str">
        <f t="shared" si="90"/>
        <v/>
      </c>
      <c r="AW179" s="20" t="str">
        <f t="shared" si="90"/>
        <v/>
      </c>
      <c r="AX179" s="20" t="str">
        <f t="shared" si="90"/>
        <v/>
      </c>
    </row>
    <row r="180" ht="22.5" customHeight="1">
      <c r="A180" s="1"/>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row>
    <row r="181" ht="22.5" customHeight="1">
      <c r="A181" s="1" t="s">
        <v>281</v>
      </c>
      <c r="B181" s="20" t="s">
        <v>282</v>
      </c>
      <c r="C181" s="20" t="s">
        <v>283</v>
      </c>
      <c r="D181" s="20" t="s">
        <v>284</v>
      </c>
      <c r="E181" s="20" t="s">
        <v>285</v>
      </c>
      <c r="F181" s="20" t="s">
        <v>286</v>
      </c>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row>
    <row r="182" ht="22.5" customHeight="1">
      <c r="A182" s="1"/>
      <c r="B182" s="20" t="str">
        <f>IF(COUNT(C182)=0,"",C182/'Настройки'!$B$32)</f>
        <v/>
      </c>
      <c r="C182" s="20" t="str">
        <f>IF(D182="","",MAX(0,(D182-4)/3))</f>
        <v/>
      </c>
      <c r="D182" s="20" t="str">
        <f>IF(COUNT(G176:G179)&lt;4,"",AVERAGE(G176:G179))</f>
        <v/>
      </c>
      <c r="E182" s="20" t="str">
        <f>IF(D182="","",SUM(F176:F179))</f>
        <v/>
      </c>
      <c r="F182" s="20" t="str">
        <f>IF(D182="","",MAX(ABS((G176-$D$182)*F176),ABS((G177-$D$182)*F177),ABS((G178-$D$182)*F178),ABS((G179-$D$182)*F179)))</f>
        <v/>
      </c>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row>
    <row r="183" ht="22.5" customHeight="1">
      <c r="A183" s="1"/>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row>
    <row r="184" ht="22.5" customHeight="1">
      <c r="A184" s="1" t="str">
        <f>IF(COUNT(B182)=0,"Нет оценок",IF(F182&gt;0.00000001,"Недостаточная сходимость",IF(B182&lt;='Настройки'!$B$31,"Согласовано","Пересмотреть сравнения")))</f>
        <v>Нет оценок</v>
      </c>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row>
    <row r="185" ht="22.5" customHeight="1">
      <c r="A185" s="1"/>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row>
    <row r="186" ht="22.5" customHeight="1">
      <c r="A186" s="1"/>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row>
    <row r="187" ht="22.5" customHeight="1">
      <c r="A187" s="1"/>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row>
    <row r="188" ht="22.5" customHeight="1">
      <c r="A188" s="1" t="s">
        <v>305</v>
      </c>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row>
    <row r="189" ht="54.0" customHeight="1">
      <c r="A189" s="3" t="s">
        <v>279</v>
      </c>
      <c r="B189" s="21" t="str">
        <f>'Настройки'!B14</f>
        <v>Детейлинг-центр</v>
      </c>
      <c r="C189" s="21" t="str">
        <f>'Настройки'!B15</f>
        <v>Планировщик покупок</v>
      </c>
      <c r="D189" s="21" t="str">
        <f>'Настройки'!B16</f>
        <v>Концепция 3</v>
      </c>
      <c r="E189" s="21" t="str">
        <f>'Настройки'!B17</f>
        <v>Концепция 4</v>
      </c>
      <c r="F189" s="21" t="s">
        <v>274</v>
      </c>
      <c r="G189" s="21" t="s">
        <v>280</v>
      </c>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row>
    <row r="190" ht="39.75" customHeight="1">
      <c r="A190" s="13" t="str">
        <f>'Настройки'!B14</f>
        <v>Детейлинг-центр</v>
      </c>
      <c r="B190" s="19">
        <f>IF(COUNT('Эксперт 2'!B50)=0,"",'Эксперт 2'!B50)</f>
        <v>1</v>
      </c>
      <c r="C190" s="19" t="str">
        <f>IF(COUNT('Эксперт 2'!C50)=0,"",'Эксперт 2'!C50)</f>
        <v/>
      </c>
      <c r="D190" s="19" t="str">
        <f>IF(COUNT('Эксперт 2'!D50)=0,"",'Эксперт 2'!D50)</f>
        <v/>
      </c>
      <c r="E190" s="19" t="str">
        <f>IF(COUNT('Эксперт 2'!E50)=0,"",'Эксперт 2'!E50)</f>
        <v/>
      </c>
      <c r="F190" s="19" t="str">
        <f t="shared" ref="F190:F193" si="92">IF(AX190="","",AX190/SUM(AX$190:AX$193))</f>
        <v/>
      </c>
      <c r="G190" s="19" t="str">
        <f t="shared" ref="G190:G193" si="93">IF(F190="","",(B190*$F$190+C190*$F$191+D190*$F$192+E190*$F$193)/F190)</f>
        <v/>
      </c>
      <c r="H190" s="20"/>
      <c r="I190" s="20"/>
      <c r="J190" s="20" t="str">
        <f t="shared" ref="J190:J193" si="94">IF(COUNT($B$190:$E$193)&lt;16,"",1/4)</f>
        <v/>
      </c>
      <c r="K190" s="20" t="str">
        <f t="shared" ref="K190:AX190" si="91">IF(J190="","",($B190*J$190+$C190*J$191+$D190*J$192+$E190*J$193)/SUM(J$190:J$193))</f>
        <v/>
      </c>
      <c r="L190" s="20" t="str">
        <f t="shared" si="91"/>
        <v/>
      </c>
      <c r="M190" s="20" t="str">
        <f t="shared" si="91"/>
        <v/>
      </c>
      <c r="N190" s="20" t="str">
        <f t="shared" si="91"/>
        <v/>
      </c>
      <c r="O190" s="20" t="str">
        <f t="shared" si="91"/>
        <v/>
      </c>
      <c r="P190" s="20" t="str">
        <f t="shared" si="91"/>
        <v/>
      </c>
      <c r="Q190" s="20" t="str">
        <f t="shared" si="91"/>
        <v/>
      </c>
      <c r="R190" s="20" t="str">
        <f t="shared" si="91"/>
        <v/>
      </c>
      <c r="S190" s="20" t="str">
        <f t="shared" si="91"/>
        <v/>
      </c>
      <c r="T190" s="20" t="str">
        <f t="shared" si="91"/>
        <v/>
      </c>
      <c r="U190" s="20" t="str">
        <f t="shared" si="91"/>
        <v/>
      </c>
      <c r="V190" s="20" t="str">
        <f t="shared" si="91"/>
        <v/>
      </c>
      <c r="W190" s="20" t="str">
        <f t="shared" si="91"/>
        <v/>
      </c>
      <c r="X190" s="20" t="str">
        <f t="shared" si="91"/>
        <v/>
      </c>
      <c r="Y190" s="20" t="str">
        <f t="shared" si="91"/>
        <v/>
      </c>
      <c r="Z190" s="20" t="str">
        <f t="shared" si="91"/>
        <v/>
      </c>
      <c r="AA190" s="20" t="str">
        <f t="shared" si="91"/>
        <v/>
      </c>
      <c r="AB190" s="20" t="str">
        <f t="shared" si="91"/>
        <v/>
      </c>
      <c r="AC190" s="20" t="str">
        <f t="shared" si="91"/>
        <v/>
      </c>
      <c r="AD190" s="20" t="str">
        <f t="shared" si="91"/>
        <v/>
      </c>
      <c r="AE190" s="20" t="str">
        <f t="shared" si="91"/>
        <v/>
      </c>
      <c r="AF190" s="20" t="str">
        <f t="shared" si="91"/>
        <v/>
      </c>
      <c r="AG190" s="20" t="str">
        <f t="shared" si="91"/>
        <v/>
      </c>
      <c r="AH190" s="20" t="str">
        <f t="shared" si="91"/>
        <v/>
      </c>
      <c r="AI190" s="20" t="str">
        <f t="shared" si="91"/>
        <v/>
      </c>
      <c r="AJ190" s="20" t="str">
        <f t="shared" si="91"/>
        <v/>
      </c>
      <c r="AK190" s="20" t="str">
        <f t="shared" si="91"/>
        <v/>
      </c>
      <c r="AL190" s="20" t="str">
        <f t="shared" si="91"/>
        <v/>
      </c>
      <c r="AM190" s="20" t="str">
        <f t="shared" si="91"/>
        <v/>
      </c>
      <c r="AN190" s="20" t="str">
        <f t="shared" si="91"/>
        <v/>
      </c>
      <c r="AO190" s="20" t="str">
        <f t="shared" si="91"/>
        <v/>
      </c>
      <c r="AP190" s="20" t="str">
        <f t="shared" si="91"/>
        <v/>
      </c>
      <c r="AQ190" s="20" t="str">
        <f t="shared" si="91"/>
        <v/>
      </c>
      <c r="AR190" s="20" t="str">
        <f t="shared" si="91"/>
        <v/>
      </c>
      <c r="AS190" s="20" t="str">
        <f t="shared" si="91"/>
        <v/>
      </c>
      <c r="AT190" s="20" t="str">
        <f t="shared" si="91"/>
        <v/>
      </c>
      <c r="AU190" s="20" t="str">
        <f t="shared" si="91"/>
        <v/>
      </c>
      <c r="AV190" s="20" t="str">
        <f t="shared" si="91"/>
        <v/>
      </c>
      <c r="AW190" s="20" t="str">
        <f t="shared" si="91"/>
        <v/>
      </c>
      <c r="AX190" s="20" t="str">
        <f t="shared" si="91"/>
        <v/>
      </c>
    </row>
    <row r="191" ht="39.75" customHeight="1">
      <c r="A191" s="13" t="str">
        <f>'Настройки'!B15</f>
        <v>Планировщик покупок</v>
      </c>
      <c r="B191" s="19" t="str">
        <f>IF(COUNT('Эксперт 2'!B51)=0,"",'Эксперт 2'!B51)</f>
        <v/>
      </c>
      <c r="C191" s="19">
        <f>IF(COUNT('Эксперт 2'!C51)=0,"",'Эксперт 2'!C51)</f>
        <v>1</v>
      </c>
      <c r="D191" s="19" t="str">
        <f>IF(COUNT('Эксперт 2'!D51)=0,"",'Эксперт 2'!D51)</f>
        <v/>
      </c>
      <c r="E191" s="19" t="str">
        <f>IF(COUNT('Эксперт 2'!E51)=0,"",'Эксперт 2'!E51)</f>
        <v/>
      </c>
      <c r="F191" s="19" t="str">
        <f t="shared" si="92"/>
        <v/>
      </c>
      <c r="G191" s="19" t="str">
        <f t="shared" si="93"/>
        <v/>
      </c>
      <c r="H191" s="20"/>
      <c r="I191" s="20"/>
      <c r="J191" s="20" t="str">
        <f t="shared" si="94"/>
        <v/>
      </c>
      <c r="K191" s="20" t="str">
        <f t="shared" ref="K191:AX191" si="95">IF(J191="","",($B191*J$190+$C191*J$191+$D191*J$192+$E191*J$193)/SUM(J$190:J$193))</f>
        <v/>
      </c>
      <c r="L191" s="20" t="str">
        <f t="shared" si="95"/>
        <v/>
      </c>
      <c r="M191" s="20" t="str">
        <f t="shared" si="95"/>
        <v/>
      </c>
      <c r="N191" s="20" t="str">
        <f t="shared" si="95"/>
        <v/>
      </c>
      <c r="O191" s="20" t="str">
        <f t="shared" si="95"/>
        <v/>
      </c>
      <c r="P191" s="20" t="str">
        <f t="shared" si="95"/>
        <v/>
      </c>
      <c r="Q191" s="20" t="str">
        <f t="shared" si="95"/>
        <v/>
      </c>
      <c r="R191" s="20" t="str">
        <f t="shared" si="95"/>
        <v/>
      </c>
      <c r="S191" s="20" t="str">
        <f t="shared" si="95"/>
        <v/>
      </c>
      <c r="T191" s="20" t="str">
        <f t="shared" si="95"/>
        <v/>
      </c>
      <c r="U191" s="20" t="str">
        <f t="shared" si="95"/>
        <v/>
      </c>
      <c r="V191" s="20" t="str">
        <f t="shared" si="95"/>
        <v/>
      </c>
      <c r="W191" s="20" t="str">
        <f t="shared" si="95"/>
        <v/>
      </c>
      <c r="X191" s="20" t="str">
        <f t="shared" si="95"/>
        <v/>
      </c>
      <c r="Y191" s="20" t="str">
        <f t="shared" si="95"/>
        <v/>
      </c>
      <c r="Z191" s="20" t="str">
        <f t="shared" si="95"/>
        <v/>
      </c>
      <c r="AA191" s="20" t="str">
        <f t="shared" si="95"/>
        <v/>
      </c>
      <c r="AB191" s="20" t="str">
        <f t="shared" si="95"/>
        <v/>
      </c>
      <c r="AC191" s="20" t="str">
        <f t="shared" si="95"/>
        <v/>
      </c>
      <c r="AD191" s="20" t="str">
        <f t="shared" si="95"/>
        <v/>
      </c>
      <c r="AE191" s="20" t="str">
        <f t="shared" si="95"/>
        <v/>
      </c>
      <c r="AF191" s="20" t="str">
        <f t="shared" si="95"/>
        <v/>
      </c>
      <c r="AG191" s="20" t="str">
        <f t="shared" si="95"/>
        <v/>
      </c>
      <c r="AH191" s="20" t="str">
        <f t="shared" si="95"/>
        <v/>
      </c>
      <c r="AI191" s="20" t="str">
        <f t="shared" si="95"/>
        <v/>
      </c>
      <c r="AJ191" s="20" t="str">
        <f t="shared" si="95"/>
        <v/>
      </c>
      <c r="AK191" s="20" t="str">
        <f t="shared" si="95"/>
        <v/>
      </c>
      <c r="AL191" s="20" t="str">
        <f t="shared" si="95"/>
        <v/>
      </c>
      <c r="AM191" s="20" t="str">
        <f t="shared" si="95"/>
        <v/>
      </c>
      <c r="AN191" s="20" t="str">
        <f t="shared" si="95"/>
        <v/>
      </c>
      <c r="AO191" s="20" t="str">
        <f t="shared" si="95"/>
        <v/>
      </c>
      <c r="AP191" s="20" t="str">
        <f t="shared" si="95"/>
        <v/>
      </c>
      <c r="AQ191" s="20" t="str">
        <f t="shared" si="95"/>
        <v/>
      </c>
      <c r="AR191" s="20" t="str">
        <f t="shared" si="95"/>
        <v/>
      </c>
      <c r="AS191" s="20" t="str">
        <f t="shared" si="95"/>
        <v/>
      </c>
      <c r="AT191" s="20" t="str">
        <f t="shared" si="95"/>
        <v/>
      </c>
      <c r="AU191" s="20" t="str">
        <f t="shared" si="95"/>
        <v/>
      </c>
      <c r="AV191" s="20" t="str">
        <f t="shared" si="95"/>
        <v/>
      </c>
      <c r="AW191" s="20" t="str">
        <f t="shared" si="95"/>
        <v/>
      </c>
      <c r="AX191" s="20" t="str">
        <f t="shared" si="95"/>
        <v/>
      </c>
    </row>
    <row r="192" ht="39.75" customHeight="1">
      <c r="A192" s="13" t="str">
        <f>'Настройки'!B16</f>
        <v>Концепция 3</v>
      </c>
      <c r="B192" s="19" t="str">
        <f>IF(COUNT('Эксперт 2'!B52)=0,"",'Эксперт 2'!B52)</f>
        <v/>
      </c>
      <c r="C192" s="19" t="str">
        <f>IF(COUNT('Эксперт 2'!C52)=0,"",'Эксперт 2'!C52)</f>
        <v/>
      </c>
      <c r="D192" s="19">
        <f>IF(COUNT('Эксперт 2'!D52)=0,"",'Эксперт 2'!D52)</f>
        <v>1</v>
      </c>
      <c r="E192" s="19" t="str">
        <f>IF(COUNT('Эксперт 2'!E52)=0,"",'Эксперт 2'!E52)</f>
        <v/>
      </c>
      <c r="F192" s="19" t="str">
        <f t="shared" si="92"/>
        <v/>
      </c>
      <c r="G192" s="19" t="str">
        <f t="shared" si="93"/>
        <v/>
      </c>
      <c r="H192" s="20"/>
      <c r="I192" s="20"/>
      <c r="J192" s="20" t="str">
        <f t="shared" si="94"/>
        <v/>
      </c>
      <c r="K192" s="20" t="str">
        <f t="shared" ref="K192:AX192" si="96">IF(J192="","",($B192*J$190+$C192*J$191+$D192*J$192+$E192*J$193)/SUM(J$190:J$193))</f>
        <v/>
      </c>
      <c r="L192" s="20" t="str">
        <f t="shared" si="96"/>
        <v/>
      </c>
      <c r="M192" s="20" t="str">
        <f t="shared" si="96"/>
        <v/>
      </c>
      <c r="N192" s="20" t="str">
        <f t="shared" si="96"/>
        <v/>
      </c>
      <c r="O192" s="20" t="str">
        <f t="shared" si="96"/>
        <v/>
      </c>
      <c r="P192" s="20" t="str">
        <f t="shared" si="96"/>
        <v/>
      </c>
      <c r="Q192" s="20" t="str">
        <f t="shared" si="96"/>
        <v/>
      </c>
      <c r="R192" s="20" t="str">
        <f t="shared" si="96"/>
        <v/>
      </c>
      <c r="S192" s="20" t="str">
        <f t="shared" si="96"/>
        <v/>
      </c>
      <c r="T192" s="20" t="str">
        <f t="shared" si="96"/>
        <v/>
      </c>
      <c r="U192" s="20" t="str">
        <f t="shared" si="96"/>
        <v/>
      </c>
      <c r="V192" s="20" t="str">
        <f t="shared" si="96"/>
        <v/>
      </c>
      <c r="W192" s="20" t="str">
        <f t="shared" si="96"/>
        <v/>
      </c>
      <c r="X192" s="20" t="str">
        <f t="shared" si="96"/>
        <v/>
      </c>
      <c r="Y192" s="20" t="str">
        <f t="shared" si="96"/>
        <v/>
      </c>
      <c r="Z192" s="20" t="str">
        <f t="shared" si="96"/>
        <v/>
      </c>
      <c r="AA192" s="20" t="str">
        <f t="shared" si="96"/>
        <v/>
      </c>
      <c r="AB192" s="20" t="str">
        <f t="shared" si="96"/>
        <v/>
      </c>
      <c r="AC192" s="20" t="str">
        <f t="shared" si="96"/>
        <v/>
      </c>
      <c r="AD192" s="20" t="str">
        <f t="shared" si="96"/>
        <v/>
      </c>
      <c r="AE192" s="20" t="str">
        <f t="shared" si="96"/>
        <v/>
      </c>
      <c r="AF192" s="20" t="str">
        <f t="shared" si="96"/>
        <v/>
      </c>
      <c r="AG192" s="20" t="str">
        <f t="shared" si="96"/>
        <v/>
      </c>
      <c r="AH192" s="20" t="str">
        <f t="shared" si="96"/>
        <v/>
      </c>
      <c r="AI192" s="20" t="str">
        <f t="shared" si="96"/>
        <v/>
      </c>
      <c r="AJ192" s="20" t="str">
        <f t="shared" si="96"/>
        <v/>
      </c>
      <c r="AK192" s="20" t="str">
        <f t="shared" si="96"/>
        <v/>
      </c>
      <c r="AL192" s="20" t="str">
        <f t="shared" si="96"/>
        <v/>
      </c>
      <c r="AM192" s="20" t="str">
        <f t="shared" si="96"/>
        <v/>
      </c>
      <c r="AN192" s="20" t="str">
        <f t="shared" si="96"/>
        <v/>
      </c>
      <c r="AO192" s="20" t="str">
        <f t="shared" si="96"/>
        <v/>
      </c>
      <c r="AP192" s="20" t="str">
        <f t="shared" si="96"/>
        <v/>
      </c>
      <c r="AQ192" s="20" t="str">
        <f t="shared" si="96"/>
        <v/>
      </c>
      <c r="AR192" s="20" t="str">
        <f t="shared" si="96"/>
        <v/>
      </c>
      <c r="AS192" s="20" t="str">
        <f t="shared" si="96"/>
        <v/>
      </c>
      <c r="AT192" s="20" t="str">
        <f t="shared" si="96"/>
        <v/>
      </c>
      <c r="AU192" s="20" t="str">
        <f t="shared" si="96"/>
        <v/>
      </c>
      <c r="AV192" s="20" t="str">
        <f t="shared" si="96"/>
        <v/>
      </c>
      <c r="AW192" s="20" t="str">
        <f t="shared" si="96"/>
        <v/>
      </c>
      <c r="AX192" s="20" t="str">
        <f t="shared" si="96"/>
        <v/>
      </c>
    </row>
    <row r="193" ht="39.75" customHeight="1">
      <c r="A193" s="13" t="str">
        <f>'Настройки'!B17</f>
        <v>Концепция 4</v>
      </c>
      <c r="B193" s="19" t="str">
        <f>IF(COUNT('Эксперт 2'!B53)=0,"",'Эксперт 2'!B53)</f>
        <v/>
      </c>
      <c r="C193" s="19" t="str">
        <f>IF(COUNT('Эксперт 2'!C53)=0,"",'Эксперт 2'!C53)</f>
        <v/>
      </c>
      <c r="D193" s="19" t="str">
        <f>IF(COUNT('Эксперт 2'!D53)=0,"",'Эксперт 2'!D53)</f>
        <v/>
      </c>
      <c r="E193" s="19">
        <f>IF(COUNT('Эксперт 2'!E53)=0,"",'Эксперт 2'!E53)</f>
        <v>1</v>
      </c>
      <c r="F193" s="19" t="str">
        <f t="shared" si="92"/>
        <v/>
      </c>
      <c r="G193" s="19" t="str">
        <f t="shared" si="93"/>
        <v/>
      </c>
      <c r="H193" s="20"/>
      <c r="I193" s="20"/>
      <c r="J193" s="20" t="str">
        <f t="shared" si="94"/>
        <v/>
      </c>
      <c r="K193" s="20" t="str">
        <f t="shared" ref="K193:AX193" si="97">IF(J193="","",($B193*J$190+$C193*J$191+$D193*J$192+$E193*J$193)/SUM(J$190:J$193))</f>
        <v/>
      </c>
      <c r="L193" s="20" t="str">
        <f t="shared" si="97"/>
        <v/>
      </c>
      <c r="M193" s="20" t="str">
        <f t="shared" si="97"/>
        <v/>
      </c>
      <c r="N193" s="20" t="str">
        <f t="shared" si="97"/>
        <v/>
      </c>
      <c r="O193" s="20" t="str">
        <f t="shared" si="97"/>
        <v/>
      </c>
      <c r="P193" s="20" t="str">
        <f t="shared" si="97"/>
        <v/>
      </c>
      <c r="Q193" s="20" t="str">
        <f t="shared" si="97"/>
        <v/>
      </c>
      <c r="R193" s="20" t="str">
        <f t="shared" si="97"/>
        <v/>
      </c>
      <c r="S193" s="20" t="str">
        <f t="shared" si="97"/>
        <v/>
      </c>
      <c r="T193" s="20" t="str">
        <f t="shared" si="97"/>
        <v/>
      </c>
      <c r="U193" s="20" t="str">
        <f t="shared" si="97"/>
        <v/>
      </c>
      <c r="V193" s="20" t="str">
        <f t="shared" si="97"/>
        <v/>
      </c>
      <c r="W193" s="20" t="str">
        <f t="shared" si="97"/>
        <v/>
      </c>
      <c r="X193" s="20" t="str">
        <f t="shared" si="97"/>
        <v/>
      </c>
      <c r="Y193" s="20" t="str">
        <f t="shared" si="97"/>
        <v/>
      </c>
      <c r="Z193" s="20" t="str">
        <f t="shared" si="97"/>
        <v/>
      </c>
      <c r="AA193" s="20" t="str">
        <f t="shared" si="97"/>
        <v/>
      </c>
      <c r="AB193" s="20" t="str">
        <f t="shared" si="97"/>
        <v/>
      </c>
      <c r="AC193" s="20" t="str">
        <f t="shared" si="97"/>
        <v/>
      </c>
      <c r="AD193" s="20" t="str">
        <f t="shared" si="97"/>
        <v/>
      </c>
      <c r="AE193" s="20" t="str">
        <f t="shared" si="97"/>
        <v/>
      </c>
      <c r="AF193" s="20" t="str">
        <f t="shared" si="97"/>
        <v/>
      </c>
      <c r="AG193" s="20" t="str">
        <f t="shared" si="97"/>
        <v/>
      </c>
      <c r="AH193" s="20" t="str">
        <f t="shared" si="97"/>
        <v/>
      </c>
      <c r="AI193" s="20" t="str">
        <f t="shared" si="97"/>
        <v/>
      </c>
      <c r="AJ193" s="20" t="str">
        <f t="shared" si="97"/>
        <v/>
      </c>
      <c r="AK193" s="20" t="str">
        <f t="shared" si="97"/>
        <v/>
      </c>
      <c r="AL193" s="20" t="str">
        <f t="shared" si="97"/>
        <v/>
      </c>
      <c r="AM193" s="20" t="str">
        <f t="shared" si="97"/>
        <v/>
      </c>
      <c r="AN193" s="20" t="str">
        <f t="shared" si="97"/>
        <v/>
      </c>
      <c r="AO193" s="20" t="str">
        <f t="shared" si="97"/>
        <v/>
      </c>
      <c r="AP193" s="20" t="str">
        <f t="shared" si="97"/>
        <v/>
      </c>
      <c r="AQ193" s="20" t="str">
        <f t="shared" si="97"/>
        <v/>
      </c>
      <c r="AR193" s="20" t="str">
        <f t="shared" si="97"/>
        <v/>
      </c>
      <c r="AS193" s="20" t="str">
        <f t="shared" si="97"/>
        <v/>
      </c>
      <c r="AT193" s="20" t="str">
        <f t="shared" si="97"/>
        <v/>
      </c>
      <c r="AU193" s="20" t="str">
        <f t="shared" si="97"/>
        <v/>
      </c>
      <c r="AV193" s="20" t="str">
        <f t="shared" si="97"/>
        <v/>
      </c>
      <c r="AW193" s="20" t="str">
        <f t="shared" si="97"/>
        <v/>
      </c>
      <c r="AX193" s="20" t="str">
        <f t="shared" si="97"/>
        <v/>
      </c>
    </row>
    <row r="194" ht="22.5" customHeight="1">
      <c r="A194" s="1"/>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row>
    <row r="195" ht="22.5" customHeight="1">
      <c r="A195" s="1" t="s">
        <v>281</v>
      </c>
      <c r="B195" s="20" t="s">
        <v>282</v>
      </c>
      <c r="C195" s="20" t="s">
        <v>283</v>
      </c>
      <c r="D195" s="20" t="s">
        <v>284</v>
      </c>
      <c r="E195" s="20" t="s">
        <v>285</v>
      </c>
      <c r="F195" s="20" t="s">
        <v>286</v>
      </c>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row>
    <row r="196" ht="22.5" customHeight="1">
      <c r="A196" s="1"/>
      <c r="B196" s="20" t="str">
        <f>IF(COUNT(C196)=0,"",C196/'Настройки'!$B$32)</f>
        <v/>
      </c>
      <c r="C196" s="20" t="str">
        <f>IF(D196="","",MAX(0,(D196-4)/3))</f>
        <v/>
      </c>
      <c r="D196" s="20" t="str">
        <f>IF(COUNT(G190:G193)&lt;4,"",AVERAGE(G190:G193))</f>
        <v/>
      </c>
      <c r="E196" s="20" t="str">
        <f>IF(D196="","",SUM(F190:F193))</f>
        <v/>
      </c>
      <c r="F196" s="20" t="str">
        <f>IF(D196="","",MAX(ABS((G190-$D$196)*F190),ABS((G191-$D$196)*F191),ABS((G192-$D$196)*F192),ABS((G193-$D$196)*F193)))</f>
        <v/>
      </c>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row>
    <row r="197" ht="22.5" customHeight="1">
      <c r="A197" s="1"/>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row>
    <row r="198" ht="22.5" customHeight="1">
      <c r="A198" s="1" t="str">
        <f>IF(COUNT(B196)=0,"Нет оценок",IF(F196&gt;0.00000001,"Недостаточная сходимость",IF(B196&lt;='Настройки'!$B$31,"Согласовано","Пересмотреть сравнения")))</f>
        <v>Нет оценок</v>
      </c>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row>
    <row r="199" ht="22.5" customHeight="1">
      <c r="A199" s="1"/>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row>
    <row r="200" ht="22.5" customHeight="1">
      <c r="A200" s="1"/>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row>
    <row r="201" ht="22.5" customHeight="1">
      <c r="A201" s="1"/>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row>
    <row r="202" ht="22.5" customHeight="1">
      <c r="A202" s="1" t="s">
        <v>306</v>
      </c>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row>
    <row r="203" ht="54.0" customHeight="1">
      <c r="A203" s="3" t="s">
        <v>279</v>
      </c>
      <c r="B203" s="21" t="str">
        <f>'Настройки'!B14</f>
        <v>Детейлинг-центр</v>
      </c>
      <c r="C203" s="21" t="str">
        <f>'Настройки'!B15</f>
        <v>Планировщик покупок</v>
      </c>
      <c r="D203" s="21" t="str">
        <f>'Настройки'!B16</f>
        <v>Концепция 3</v>
      </c>
      <c r="E203" s="21" t="str">
        <f>'Настройки'!B17</f>
        <v>Концепция 4</v>
      </c>
      <c r="F203" s="21" t="s">
        <v>274</v>
      </c>
      <c r="G203" s="21" t="s">
        <v>280</v>
      </c>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row>
    <row r="204" ht="39.75" customHeight="1">
      <c r="A204" s="13" t="str">
        <f>'Настройки'!B14</f>
        <v>Детейлинг-центр</v>
      </c>
      <c r="B204" s="19">
        <f>IF(COUNT('Эксперт 2'!B62)=0,"",'Эксперт 2'!B62)</f>
        <v>1</v>
      </c>
      <c r="C204" s="19" t="str">
        <f>IF(COUNT('Эксперт 2'!C62)=0,"",'Эксперт 2'!C62)</f>
        <v/>
      </c>
      <c r="D204" s="19" t="str">
        <f>IF(COUNT('Эксперт 2'!D62)=0,"",'Эксперт 2'!D62)</f>
        <v/>
      </c>
      <c r="E204" s="19" t="str">
        <f>IF(COUNT('Эксперт 2'!E62)=0,"",'Эксперт 2'!E62)</f>
        <v/>
      </c>
      <c r="F204" s="19" t="str">
        <f t="shared" ref="F204:F207" si="99">IF(AX204="","",AX204/SUM(AX$204:AX$207))</f>
        <v/>
      </c>
      <c r="G204" s="19" t="str">
        <f t="shared" ref="G204:G207" si="100">IF(F204="","",(B204*$F$204+C204*$F$205+D204*$F$206+E204*$F$207)/F204)</f>
        <v/>
      </c>
      <c r="H204" s="20"/>
      <c r="I204" s="20"/>
      <c r="J204" s="20" t="str">
        <f t="shared" ref="J204:J207" si="101">IF(COUNT($B$204:$E$207)&lt;16,"",1/4)</f>
        <v/>
      </c>
      <c r="K204" s="20" t="str">
        <f t="shared" ref="K204:AX204" si="98">IF(J204="","",($B204*J$204+$C204*J$205+$D204*J$206+$E204*J$207)/SUM(J$204:J$207))</f>
        <v/>
      </c>
      <c r="L204" s="20" t="str">
        <f t="shared" si="98"/>
        <v/>
      </c>
      <c r="M204" s="20" t="str">
        <f t="shared" si="98"/>
        <v/>
      </c>
      <c r="N204" s="20" t="str">
        <f t="shared" si="98"/>
        <v/>
      </c>
      <c r="O204" s="20" t="str">
        <f t="shared" si="98"/>
        <v/>
      </c>
      <c r="P204" s="20" t="str">
        <f t="shared" si="98"/>
        <v/>
      </c>
      <c r="Q204" s="20" t="str">
        <f t="shared" si="98"/>
        <v/>
      </c>
      <c r="R204" s="20" t="str">
        <f t="shared" si="98"/>
        <v/>
      </c>
      <c r="S204" s="20" t="str">
        <f t="shared" si="98"/>
        <v/>
      </c>
      <c r="T204" s="20" t="str">
        <f t="shared" si="98"/>
        <v/>
      </c>
      <c r="U204" s="20" t="str">
        <f t="shared" si="98"/>
        <v/>
      </c>
      <c r="V204" s="20" t="str">
        <f t="shared" si="98"/>
        <v/>
      </c>
      <c r="W204" s="20" t="str">
        <f t="shared" si="98"/>
        <v/>
      </c>
      <c r="X204" s="20" t="str">
        <f t="shared" si="98"/>
        <v/>
      </c>
      <c r="Y204" s="20" t="str">
        <f t="shared" si="98"/>
        <v/>
      </c>
      <c r="Z204" s="20" t="str">
        <f t="shared" si="98"/>
        <v/>
      </c>
      <c r="AA204" s="20" t="str">
        <f t="shared" si="98"/>
        <v/>
      </c>
      <c r="AB204" s="20" t="str">
        <f t="shared" si="98"/>
        <v/>
      </c>
      <c r="AC204" s="20" t="str">
        <f t="shared" si="98"/>
        <v/>
      </c>
      <c r="AD204" s="20" t="str">
        <f t="shared" si="98"/>
        <v/>
      </c>
      <c r="AE204" s="20" t="str">
        <f t="shared" si="98"/>
        <v/>
      </c>
      <c r="AF204" s="20" t="str">
        <f t="shared" si="98"/>
        <v/>
      </c>
      <c r="AG204" s="20" t="str">
        <f t="shared" si="98"/>
        <v/>
      </c>
      <c r="AH204" s="20" t="str">
        <f t="shared" si="98"/>
        <v/>
      </c>
      <c r="AI204" s="20" t="str">
        <f t="shared" si="98"/>
        <v/>
      </c>
      <c r="AJ204" s="20" t="str">
        <f t="shared" si="98"/>
        <v/>
      </c>
      <c r="AK204" s="20" t="str">
        <f t="shared" si="98"/>
        <v/>
      </c>
      <c r="AL204" s="20" t="str">
        <f t="shared" si="98"/>
        <v/>
      </c>
      <c r="AM204" s="20" t="str">
        <f t="shared" si="98"/>
        <v/>
      </c>
      <c r="AN204" s="20" t="str">
        <f t="shared" si="98"/>
        <v/>
      </c>
      <c r="AO204" s="20" t="str">
        <f t="shared" si="98"/>
        <v/>
      </c>
      <c r="AP204" s="20" t="str">
        <f t="shared" si="98"/>
        <v/>
      </c>
      <c r="AQ204" s="20" t="str">
        <f t="shared" si="98"/>
        <v/>
      </c>
      <c r="AR204" s="20" t="str">
        <f t="shared" si="98"/>
        <v/>
      </c>
      <c r="AS204" s="20" t="str">
        <f t="shared" si="98"/>
        <v/>
      </c>
      <c r="AT204" s="20" t="str">
        <f t="shared" si="98"/>
        <v/>
      </c>
      <c r="AU204" s="20" t="str">
        <f t="shared" si="98"/>
        <v/>
      </c>
      <c r="AV204" s="20" t="str">
        <f t="shared" si="98"/>
        <v/>
      </c>
      <c r="AW204" s="20" t="str">
        <f t="shared" si="98"/>
        <v/>
      </c>
      <c r="AX204" s="20" t="str">
        <f t="shared" si="98"/>
        <v/>
      </c>
    </row>
    <row r="205" ht="39.75" customHeight="1">
      <c r="A205" s="13" t="str">
        <f>'Настройки'!B15</f>
        <v>Планировщик покупок</v>
      </c>
      <c r="B205" s="19" t="str">
        <f>IF(COUNT('Эксперт 2'!B63)=0,"",'Эксперт 2'!B63)</f>
        <v/>
      </c>
      <c r="C205" s="19">
        <f>IF(COUNT('Эксперт 2'!C63)=0,"",'Эксперт 2'!C63)</f>
        <v>1</v>
      </c>
      <c r="D205" s="19" t="str">
        <f>IF(COUNT('Эксперт 2'!D63)=0,"",'Эксперт 2'!D63)</f>
        <v/>
      </c>
      <c r="E205" s="19" t="str">
        <f>IF(COUNT('Эксперт 2'!E63)=0,"",'Эксперт 2'!E63)</f>
        <v/>
      </c>
      <c r="F205" s="19" t="str">
        <f t="shared" si="99"/>
        <v/>
      </c>
      <c r="G205" s="19" t="str">
        <f t="shared" si="100"/>
        <v/>
      </c>
      <c r="H205" s="20"/>
      <c r="I205" s="20"/>
      <c r="J205" s="20" t="str">
        <f t="shared" si="101"/>
        <v/>
      </c>
      <c r="K205" s="20" t="str">
        <f t="shared" ref="K205:AX205" si="102">IF(J205="","",($B205*J$204+$C205*J$205+$D205*J$206+$E205*J$207)/SUM(J$204:J$207))</f>
        <v/>
      </c>
      <c r="L205" s="20" t="str">
        <f t="shared" si="102"/>
        <v/>
      </c>
      <c r="M205" s="20" t="str">
        <f t="shared" si="102"/>
        <v/>
      </c>
      <c r="N205" s="20" t="str">
        <f t="shared" si="102"/>
        <v/>
      </c>
      <c r="O205" s="20" t="str">
        <f t="shared" si="102"/>
        <v/>
      </c>
      <c r="P205" s="20" t="str">
        <f t="shared" si="102"/>
        <v/>
      </c>
      <c r="Q205" s="20" t="str">
        <f t="shared" si="102"/>
        <v/>
      </c>
      <c r="R205" s="20" t="str">
        <f t="shared" si="102"/>
        <v/>
      </c>
      <c r="S205" s="20" t="str">
        <f t="shared" si="102"/>
        <v/>
      </c>
      <c r="T205" s="20" t="str">
        <f t="shared" si="102"/>
        <v/>
      </c>
      <c r="U205" s="20" t="str">
        <f t="shared" si="102"/>
        <v/>
      </c>
      <c r="V205" s="20" t="str">
        <f t="shared" si="102"/>
        <v/>
      </c>
      <c r="W205" s="20" t="str">
        <f t="shared" si="102"/>
        <v/>
      </c>
      <c r="X205" s="20" t="str">
        <f t="shared" si="102"/>
        <v/>
      </c>
      <c r="Y205" s="20" t="str">
        <f t="shared" si="102"/>
        <v/>
      </c>
      <c r="Z205" s="20" t="str">
        <f t="shared" si="102"/>
        <v/>
      </c>
      <c r="AA205" s="20" t="str">
        <f t="shared" si="102"/>
        <v/>
      </c>
      <c r="AB205" s="20" t="str">
        <f t="shared" si="102"/>
        <v/>
      </c>
      <c r="AC205" s="20" t="str">
        <f t="shared" si="102"/>
        <v/>
      </c>
      <c r="AD205" s="20" t="str">
        <f t="shared" si="102"/>
        <v/>
      </c>
      <c r="AE205" s="20" t="str">
        <f t="shared" si="102"/>
        <v/>
      </c>
      <c r="AF205" s="20" t="str">
        <f t="shared" si="102"/>
        <v/>
      </c>
      <c r="AG205" s="20" t="str">
        <f t="shared" si="102"/>
        <v/>
      </c>
      <c r="AH205" s="20" t="str">
        <f t="shared" si="102"/>
        <v/>
      </c>
      <c r="AI205" s="20" t="str">
        <f t="shared" si="102"/>
        <v/>
      </c>
      <c r="AJ205" s="20" t="str">
        <f t="shared" si="102"/>
        <v/>
      </c>
      <c r="AK205" s="20" t="str">
        <f t="shared" si="102"/>
        <v/>
      </c>
      <c r="AL205" s="20" t="str">
        <f t="shared" si="102"/>
        <v/>
      </c>
      <c r="AM205" s="20" t="str">
        <f t="shared" si="102"/>
        <v/>
      </c>
      <c r="AN205" s="20" t="str">
        <f t="shared" si="102"/>
        <v/>
      </c>
      <c r="AO205" s="20" t="str">
        <f t="shared" si="102"/>
        <v/>
      </c>
      <c r="AP205" s="20" t="str">
        <f t="shared" si="102"/>
        <v/>
      </c>
      <c r="AQ205" s="20" t="str">
        <f t="shared" si="102"/>
        <v/>
      </c>
      <c r="AR205" s="20" t="str">
        <f t="shared" si="102"/>
        <v/>
      </c>
      <c r="AS205" s="20" t="str">
        <f t="shared" si="102"/>
        <v/>
      </c>
      <c r="AT205" s="20" t="str">
        <f t="shared" si="102"/>
        <v/>
      </c>
      <c r="AU205" s="20" t="str">
        <f t="shared" si="102"/>
        <v/>
      </c>
      <c r="AV205" s="20" t="str">
        <f t="shared" si="102"/>
        <v/>
      </c>
      <c r="AW205" s="20" t="str">
        <f t="shared" si="102"/>
        <v/>
      </c>
      <c r="AX205" s="20" t="str">
        <f t="shared" si="102"/>
        <v/>
      </c>
    </row>
    <row r="206" ht="39.75" customHeight="1">
      <c r="A206" s="13" t="str">
        <f>'Настройки'!B16</f>
        <v>Концепция 3</v>
      </c>
      <c r="B206" s="19" t="str">
        <f>IF(COUNT('Эксперт 2'!B64)=0,"",'Эксперт 2'!B64)</f>
        <v/>
      </c>
      <c r="C206" s="19" t="str">
        <f>IF(COUNT('Эксперт 2'!C64)=0,"",'Эксперт 2'!C64)</f>
        <v/>
      </c>
      <c r="D206" s="19">
        <f>IF(COUNT('Эксперт 2'!D64)=0,"",'Эксперт 2'!D64)</f>
        <v>1</v>
      </c>
      <c r="E206" s="19" t="str">
        <f>IF(COUNT('Эксперт 2'!E64)=0,"",'Эксперт 2'!E64)</f>
        <v/>
      </c>
      <c r="F206" s="19" t="str">
        <f t="shared" si="99"/>
        <v/>
      </c>
      <c r="G206" s="19" t="str">
        <f t="shared" si="100"/>
        <v/>
      </c>
      <c r="H206" s="20"/>
      <c r="I206" s="20"/>
      <c r="J206" s="20" t="str">
        <f t="shared" si="101"/>
        <v/>
      </c>
      <c r="K206" s="20" t="str">
        <f t="shared" ref="K206:AX206" si="103">IF(J206="","",($B206*J$204+$C206*J$205+$D206*J$206+$E206*J$207)/SUM(J$204:J$207))</f>
        <v/>
      </c>
      <c r="L206" s="20" t="str">
        <f t="shared" si="103"/>
        <v/>
      </c>
      <c r="M206" s="20" t="str">
        <f t="shared" si="103"/>
        <v/>
      </c>
      <c r="N206" s="20" t="str">
        <f t="shared" si="103"/>
        <v/>
      </c>
      <c r="O206" s="20" t="str">
        <f t="shared" si="103"/>
        <v/>
      </c>
      <c r="P206" s="20" t="str">
        <f t="shared" si="103"/>
        <v/>
      </c>
      <c r="Q206" s="20" t="str">
        <f t="shared" si="103"/>
        <v/>
      </c>
      <c r="R206" s="20" t="str">
        <f t="shared" si="103"/>
        <v/>
      </c>
      <c r="S206" s="20" t="str">
        <f t="shared" si="103"/>
        <v/>
      </c>
      <c r="T206" s="20" t="str">
        <f t="shared" si="103"/>
        <v/>
      </c>
      <c r="U206" s="20" t="str">
        <f t="shared" si="103"/>
        <v/>
      </c>
      <c r="V206" s="20" t="str">
        <f t="shared" si="103"/>
        <v/>
      </c>
      <c r="W206" s="20" t="str">
        <f t="shared" si="103"/>
        <v/>
      </c>
      <c r="X206" s="20" t="str">
        <f t="shared" si="103"/>
        <v/>
      </c>
      <c r="Y206" s="20" t="str">
        <f t="shared" si="103"/>
        <v/>
      </c>
      <c r="Z206" s="20" t="str">
        <f t="shared" si="103"/>
        <v/>
      </c>
      <c r="AA206" s="20" t="str">
        <f t="shared" si="103"/>
        <v/>
      </c>
      <c r="AB206" s="20" t="str">
        <f t="shared" si="103"/>
        <v/>
      </c>
      <c r="AC206" s="20" t="str">
        <f t="shared" si="103"/>
        <v/>
      </c>
      <c r="AD206" s="20" t="str">
        <f t="shared" si="103"/>
        <v/>
      </c>
      <c r="AE206" s="20" t="str">
        <f t="shared" si="103"/>
        <v/>
      </c>
      <c r="AF206" s="20" t="str">
        <f t="shared" si="103"/>
        <v/>
      </c>
      <c r="AG206" s="20" t="str">
        <f t="shared" si="103"/>
        <v/>
      </c>
      <c r="AH206" s="20" t="str">
        <f t="shared" si="103"/>
        <v/>
      </c>
      <c r="AI206" s="20" t="str">
        <f t="shared" si="103"/>
        <v/>
      </c>
      <c r="AJ206" s="20" t="str">
        <f t="shared" si="103"/>
        <v/>
      </c>
      <c r="AK206" s="20" t="str">
        <f t="shared" si="103"/>
        <v/>
      </c>
      <c r="AL206" s="20" t="str">
        <f t="shared" si="103"/>
        <v/>
      </c>
      <c r="AM206" s="20" t="str">
        <f t="shared" si="103"/>
        <v/>
      </c>
      <c r="AN206" s="20" t="str">
        <f t="shared" si="103"/>
        <v/>
      </c>
      <c r="AO206" s="20" t="str">
        <f t="shared" si="103"/>
        <v/>
      </c>
      <c r="AP206" s="20" t="str">
        <f t="shared" si="103"/>
        <v/>
      </c>
      <c r="AQ206" s="20" t="str">
        <f t="shared" si="103"/>
        <v/>
      </c>
      <c r="AR206" s="20" t="str">
        <f t="shared" si="103"/>
        <v/>
      </c>
      <c r="AS206" s="20" t="str">
        <f t="shared" si="103"/>
        <v/>
      </c>
      <c r="AT206" s="20" t="str">
        <f t="shared" si="103"/>
        <v/>
      </c>
      <c r="AU206" s="20" t="str">
        <f t="shared" si="103"/>
        <v/>
      </c>
      <c r="AV206" s="20" t="str">
        <f t="shared" si="103"/>
        <v/>
      </c>
      <c r="AW206" s="20" t="str">
        <f t="shared" si="103"/>
        <v/>
      </c>
      <c r="AX206" s="20" t="str">
        <f t="shared" si="103"/>
        <v/>
      </c>
    </row>
    <row r="207" ht="39.75" customHeight="1">
      <c r="A207" s="13" t="str">
        <f>'Настройки'!B17</f>
        <v>Концепция 4</v>
      </c>
      <c r="B207" s="19" t="str">
        <f>IF(COUNT('Эксперт 2'!B65)=0,"",'Эксперт 2'!B65)</f>
        <v/>
      </c>
      <c r="C207" s="19" t="str">
        <f>IF(COUNT('Эксперт 2'!C65)=0,"",'Эксперт 2'!C65)</f>
        <v/>
      </c>
      <c r="D207" s="19" t="str">
        <f>IF(COUNT('Эксперт 2'!D65)=0,"",'Эксперт 2'!D65)</f>
        <v/>
      </c>
      <c r="E207" s="19">
        <f>IF(COUNT('Эксперт 2'!E65)=0,"",'Эксперт 2'!E65)</f>
        <v>1</v>
      </c>
      <c r="F207" s="19" t="str">
        <f t="shared" si="99"/>
        <v/>
      </c>
      <c r="G207" s="19" t="str">
        <f t="shared" si="100"/>
        <v/>
      </c>
      <c r="H207" s="20"/>
      <c r="I207" s="20"/>
      <c r="J207" s="20" t="str">
        <f t="shared" si="101"/>
        <v/>
      </c>
      <c r="K207" s="20" t="str">
        <f t="shared" ref="K207:AX207" si="104">IF(J207="","",($B207*J$204+$C207*J$205+$D207*J$206+$E207*J$207)/SUM(J$204:J$207))</f>
        <v/>
      </c>
      <c r="L207" s="20" t="str">
        <f t="shared" si="104"/>
        <v/>
      </c>
      <c r="M207" s="20" t="str">
        <f t="shared" si="104"/>
        <v/>
      </c>
      <c r="N207" s="20" t="str">
        <f t="shared" si="104"/>
        <v/>
      </c>
      <c r="O207" s="20" t="str">
        <f t="shared" si="104"/>
        <v/>
      </c>
      <c r="P207" s="20" t="str">
        <f t="shared" si="104"/>
        <v/>
      </c>
      <c r="Q207" s="20" t="str">
        <f t="shared" si="104"/>
        <v/>
      </c>
      <c r="R207" s="20" t="str">
        <f t="shared" si="104"/>
        <v/>
      </c>
      <c r="S207" s="20" t="str">
        <f t="shared" si="104"/>
        <v/>
      </c>
      <c r="T207" s="20" t="str">
        <f t="shared" si="104"/>
        <v/>
      </c>
      <c r="U207" s="20" t="str">
        <f t="shared" si="104"/>
        <v/>
      </c>
      <c r="V207" s="20" t="str">
        <f t="shared" si="104"/>
        <v/>
      </c>
      <c r="W207" s="20" t="str">
        <f t="shared" si="104"/>
        <v/>
      </c>
      <c r="X207" s="20" t="str">
        <f t="shared" si="104"/>
        <v/>
      </c>
      <c r="Y207" s="20" t="str">
        <f t="shared" si="104"/>
        <v/>
      </c>
      <c r="Z207" s="20" t="str">
        <f t="shared" si="104"/>
        <v/>
      </c>
      <c r="AA207" s="20" t="str">
        <f t="shared" si="104"/>
        <v/>
      </c>
      <c r="AB207" s="20" t="str">
        <f t="shared" si="104"/>
        <v/>
      </c>
      <c r="AC207" s="20" t="str">
        <f t="shared" si="104"/>
        <v/>
      </c>
      <c r="AD207" s="20" t="str">
        <f t="shared" si="104"/>
        <v/>
      </c>
      <c r="AE207" s="20" t="str">
        <f t="shared" si="104"/>
        <v/>
      </c>
      <c r="AF207" s="20" t="str">
        <f t="shared" si="104"/>
        <v/>
      </c>
      <c r="AG207" s="20" t="str">
        <f t="shared" si="104"/>
        <v/>
      </c>
      <c r="AH207" s="20" t="str">
        <f t="shared" si="104"/>
        <v/>
      </c>
      <c r="AI207" s="20" t="str">
        <f t="shared" si="104"/>
        <v/>
      </c>
      <c r="AJ207" s="20" t="str">
        <f t="shared" si="104"/>
        <v/>
      </c>
      <c r="AK207" s="20" t="str">
        <f t="shared" si="104"/>
        <v/>
      </c>
      <c r="AL207" s="20" t="str">
        <f t="shared" si="104"/>
        <v/>
      </c>
      <c r="AM207" s="20" t="str">
        <f t="shared" si="104"/>
        <v/>
      </c>
      <c r="AN207" s="20" t="str">
        <f t="shared" si="104"/>
        <v/>
      </c>
      <c r="AO207" s="20" t="str">
        <f t="shared" si="104"/>
        <v/>
      </c>
      <c r="AP207" s="20" t="str">
        <f t="shared" si="104"/>
        <v/>
      </c>
      <c r="AQ207" s="20" t="str">
        <f t="shared" si="104"/>
        <v/>
      </c>
      <c r="AR207" s="20" t="str">
        <f t="shared" si="104"/>
        <v/>
      </c>
      <c r="AS207" s="20" t="str">
        <f t="shared" si="104"/>
        <v/>
      </c>
      <c r="AT207" s="20" t="str">
        <f t="shared" si="104"/>
        <v/>
      </c>
      <c r="AU207" s="20" t="str">
        <f t="shared" si="104"/>
        <v/>
      </c>
      <c r="AV207" s="20" t="str">
        <f t="shared" si="104"/>
        <v/>
      </c>
      <c r="AW207" s="20" t="str">
        <f t="shared" si="104"/>
        <v/>
      </c>
      <c r="AX207" s="20" t="str">
        <f t="shared" si="104"/>
        <v/>
      </c>
    </row>
    <row r="208" ht="22.5" customHeight="1">
      <c r="A208" s="1"/>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row>
    <row r="209" ht="22.5" customHeight="1">
      <c r="A209" s="1" t="s">
        <v>281</v>
      </c>
      <c r="B209" s="20" t="s">
        <v>282</v>
      </c>
      <c r="C209" s="20" t="s">
        <v>283</v>
      </c>
      <c r="D209" s="20" t="s">
        <v>284</v>
      </c>
      <c r="E209" s="20" t="s">
        <v>285</v>
      </c>
      <c r="F209" s="20" t="s">
        <v>286</v>
      </c>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row>
    <row r="210" ht="22.5" customHeight="1">
      <c r="A210" s="1"/>
      <c r="B210" s="20" t="str">
        <f>IF(COUNT(C210)=0,"",C210/'Настройки'!$B$32)</f>
        <v/>
      </c>
      <c r="C210" s="20" t="str">
        <f>IF(D210="","",MAX(0,(D210-4)/3))</f>
        <v/>
      </c>
      <c r="D210" s="20" t="str">
        <f>IF(COUNT(G204:G207)&lt;4,"",AVERAGE(G204:G207))</f>
        <v/>
      </c>
      <c r="E210" s="20" t="str">
        <f>IF(D210="","",SUM(F204:F207))</f>
        <v/>
      </c>
      <c r="F210" s="20" t="str">
        <f>IF(D210="","",MAX(ABS((G204-$D$210)*F204),ABS((G205-$D$210)*F205),ABS((G206-$D$210)*F206),ABS((G207-$D$210)*F207)))</f>
        <v/>
      </c>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row>
    <row r="211" ht="22.5" customHeight="1">
      <c r="A211" s="1"/>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row>
    <row r="212" ht="22.5" customHeight="1">
      <c r="A212" s="1" t="str">
        <f>IF(COUNT(B210)=0,"Нет оценок",IF(F210&gt;0.00000001,"Недостаточная сходимость",IF(B210&lt;='Настройки'!$B$31,"Согласовано","Пересмотреть сравнения")))</f>
        <v>Нет оценок</v>
      </c>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row>
    <row r="213" ht="22.5" customHeight="1">
      <c r="A213" s="1"/>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row>
    <row r="214" ht="22.5" customHeight="1">
      <c r="A214" s="1"/>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row>
    <row r="215" ht="22.5" customHeight="1">
      <c r="A215" s="1"/>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row>
    <row r="216" ht="22.5" customHeight="1">
      <c r="A216" s="1" t="s">
        <v>307</v>
      </c>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row>
    <row r="217" ht="54.0" customHeight="1">
      <c r="A217" s="3" t="s">
        <v>279</v>
      </c>
      <c r="B217" s="21" t="str">
        <f>'Настройки'!B14</f>
        <v>Детейлинг-центр</v>
      </c>
      <c r="C217" s="21" t="str">
        <f>'Настройки'!B15</f>
        <v>Планировщик покупок</v>
      </c>
      <c r="D217" s="21" t="str">
        <f>'Настройки'!B16</f>
        <v>Концепция 3</v>
      </c>
      <c r="E217" s="21" t="str">
        <f>'Настройки'!B17</f>
        <v>Концепция 4</v>
      </c>
      <c r="F217" s="21" t="s">
        <v>274</v>
      </c>
      <c r="G217" s="21" t="s">
        <v>280</v>
      </c>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row>
    <row r="218" ht="39.75" customHeight="1">
      <c r="A218" s="13" t="str">
        <f>'Настройки'!B14</f>
        <v>Детейлинг-центр</v>
      </c>
      <c r="B218" s="19">
        <f>IF(COUNT('Эксперт 2'!B74)=0,"",'Эксперт 2'!B74)</f>
        <v>1</v>
      </c>
      <c r="C218" s="19" t="str">
        <f>IF(COUNT('Эксперт 2'!C74)=0,"",'Эксперт 2'!C74)</f>
        <v/>
      </c>
      <c r="D218" s="19" t="str">
        <f>IF(COUNT('Эксперт 2'!D74)=0,"",'Эксперт 2'!D74)</f>
        <v/>
      </c>
      <c r="E218" s="19" t="str">
        <f>IF(COUNT('Эксперт 2'!E74)=0,"",'Эксперт 2'!E74)</f>
        <v/>
      </c>
      <c r="F218" s="19" t="str">
        <f t="shared" ref="F218:F221" si="106">IF(AX218="","",AX218/SUM(AX$218:AX$221))</f>
        <v/>
      </c>
      <c r="G218" s="19" t="str">
        <f t="shared" ref="G218:G221" si="107">IF(F218="","",(B218*$F$218+C218*$F$219+D218*$F$220+E218*$F$221)/F218)</f>
        <v/>
      </c>
      <c r="H218" s="20"/>
      <c r="I218" s="20"/>
      <c r="J218" s="20" t="str">
        <f t="shared" ref="J218:J221" si="108">IF(COUNT($B$218:$E$221)&lt;16,"",1/4)</f>
        <v/>
      </c>
      <c r="K218" s="20" t="str">
        <f t="shared" ref="K218:AX218" si="105">IF(J218="","",($B218*J$218+$C218*J$219+$D218*J$220+$E218*J$221)/SUM(J$218:J$221))</f>
        <v/>
      </c>
      <c r="L218" s="20" t="str">
        <f t="shared" si="105"/>
        <v/>
      </c>
      <c r="M218" s="20" t="str">
        <f t="shared" si="105"/>
        <v/>
      </c>
      <c r="N218" s="20" t="str">
        <f t="shared" si="105"/>
        <v/>
      </c>
      <c r="O218" s="20" t="str">
        <f t="shared" si="105"/>
        <v/>
      </c>
      <c r="P218" s="20" t="str">
        <f t="shared" si="105"/>
        <v/>
      </c>
      <c r="Q218" s="20" t="str">
        <f t="shared" si="105"/>
        <v/>
      </c>
      <c r="R218" s="20" t="str">
        <f t="shared" si="105"/>
        <v/>
      </c>
      <c r="S218" s="20" t="str">
        <f t="shared" si="105"/>
        <v/>
      </c>
      <c r="T218" s="20" t="str">
        <f t="shared" si="105"/>
        <v/>
      </c>
      <c r="U218" s="20" t="str">
        <f t="shared" si="105"/>
        <v/>
      </c>
      <c r="V218" s="20" t="str">
        <f t="shared" si="105"/>
        <v/>
      </c>
      <c r="W218" s="20" t="str">
        <f t="shared" si="105"/>
        <v/>
      </c>
      <c r="X218" s="20" t="str">
        <f t="shared" si="105"/>
        <v/>
      </c>
      <c r="Y218" s="20" t="str">
        <f t="shared" si="105"/>
        <v/>
      </c>
      <c r="Z218" s="20" t="str">
        <f t="shared" si="105"/>
        <v/>
      </c>
      <c r="AA218" s="20" t="str">
        <f t="shared" si="105"/>
        <v/>
      </c>
      <c r="AB218" s="20" t="str">
        <f t="shared" si="105"/>
        <v/>
      </c>
      <c r="AC218" s="20" t="str">
        <f t="shared" si="105"/>
        <v/>
      </c>
      <c r="AD218" s="20" t="str">
        <f t="shared" si="105"/>
        <v/>
      </c>
      <c r="AE218" s="20" t="str">
        <f t="shared" si="105"/>
        <v/>
      </c>
      <c r="AF218" s="20" t="str">
        <f t="shared" si="105"/>
        <v/>
      </c>
      <c r="AG218" s="20" t="str">
        <f t="shared" si="105"/>
        <v/>
      </c>
      <c r="AH218" s="20" t="str">
        <f t="shared" si="105"/>
        <v/>
      </c>
      <c r="AI218" s="20" t="str">
        <f t="shared" si="105"/>
        <v/>
      </c>
      <c r="AJ218" s="20" t="str">
        <f t="shared" si="105"/>
        <v/>
      </c>
      <c r="AK218" s="20" t="str">
        <f t="shared" si="105"/>
        <v/>
      </c>
      <c r="AL218" s="20" t="str">
        <f t="shared" si="105"/>
        <v/>
      </c>
      <c r="AM218" s="20" t="str">
        <f t="shared" si="105"/>
        <v/>
      </c>
      <c r="AN218" s="20" t="str">
        <f t="shared" si="105"/>
        <v/>
      </c>
      <c r="AO218" s="20" t="str">
        <f t="shared" si="105"/>
        <v/>
      </c>
      <c r="AP218" s="20" t="str">
        <f t="shared" si="105"/>
        <v/>
      </c>
      <c r="AQ218" s="20" t="str">
        <f t="shared" si="105"/>
        <v/>
      </c>
      <c r="AR218" s="20" t="str">
        <f t="shared" si="105"/>
        <v/>
      </c>
      <c r="AS218" s="20" t="str">
        <f t="shared" si="105"/>
        <v/>
      </c>
      <c r="AT218" s="20" t="str">
        <f t="shared" si="105"/>
        <v/>
      </c>
      <c r="AU218" s="20" t="str">
        <f t="shared" si="105"/>
        <v/>
      </c>
      <c r="AV218" s="20" t="str">
        <f t="shared" si="105"/>
        <v/>
      </c>
      <c r="AW218" s="20" t="str">
        <f t="shared" si="105"/>
        <v/>
      </c>
      <c r="AX218" s="20" t="str">
        <f t="shared" si="105"/>
        <v/>
      </c>
    </row>
    <row r="219" ht="39.75" customHeight="1">
      <c r="A219" s="13" t="str">
        <f>'Настройки'!B15</f>
        <v>Планировщик покупок</v>
      </c>
      <c r="B219" s="19" t="str">
        <f>IF(COUNT('Эксперт 2'!B75)=0,"",'Эксперт 2'!B75)</f>
        <v/>
      </c>
      <c r="C219" s="19">
        <f>IF(COUNT('Эксперт 2'!C75)=0,"",'Эксперт 2'!C75)</f>
        <v>1</v>
      </c>
      <c r="D219" s="19" t="str">
        <f>IF(COUNT('Эксперт 2'!D75)=0,"",'Эксперт 2'!D75)</f>
        <v/>
      </c>
      <c r="E219" s="19" t="str">
        <f>IF(COUNT('Эксперт 2'!E75)=0,"",'Эксперт 2'!E75)</f>
        <v/>
      </c>
      <c r="F219" s="19" t="str">
        <f t="shared" si="106"/>
        <v/>
      </c>
      <c r="G219" s="19" t="str">
        <f t="shared" si="107"/>
        <v/>
      </c>
      <c r="H219" s="20"/>
      <c r="I219" s="20"/>
      <c r="J219" s="20" t="str">
        <f t="shared" si="108"/>
        <v/>
      </c>
      <c r="K219" s="20" t="str">
        <f t="shared" ref="K219:AX219" si="109">IF(J219="","",($B219*J$218+$C219*J$219+$D219*J$220+$E219*J$221)/SUM(J$218:J$221))</f>
        <v/>
      </c>
      <c r="L219" s="20" t="str">
        <f t="shared" si="109"/>
        <v/>
      </c>
      <c r="M219" s="20" t="str">
        <f t="shared" si="109"/>
        <v/>
      </c>
      <c r="N219" s="20" t="str">
        <f t="shared" si="109"/>
        <v/>
      </c>
      <c r="O219" s="20" t="str">
        <f t="shared" si="109"/>
        <v/>
      </c>
      <c r="P219" s="20" t="str">
        <f t="shared" si="109"/>
        <v/>
      </c>
      <c r="Q219" s="20" t="str">
        <f t="shared" si="109"/>
        <v/>
      </c>
      <c r="R219" s="20" t="str">
        <f t="shared" si="109"/>
        <v/>
      </c>
      <c r="S219" s="20" t="str">
        <f t="shared" si="109"/>
        <v/>
      </c>
      <c r="T219" s="20" t="str">
        <f t="shared" si="109"/>
        <v/>
      </c>
      <c r="U219" s="20" t="str">
        <f t="shared" si="109"/>
        <v/>
      </c>
      <c r="V219" s="20" t="str">
        <f t="shared" si="109"/>
        <v/>
      </c>
      <c r="W219" s="20" t="str">
        <f t="shared" si="109"/>
        <v/>
      </c>
      <c r="X219" s="20" t="str">
        <f t="shared" si="109"/>
        <v/>
      </c>
      <c r="Y219" s="20" t="str">
        <f t="shared" si="109"/>
        <v/>
      </c>
      <c r="Z219" s="20" t="str">
        <f t="shared" si="109"/>
        <v/>
      </c>
      <c r="AA219" s="20" t="str">
        <f t="shared" si="109"/>
        <v/>
      </c>
      <c r="AB219" s="20" t="str">
        <f t="shared" si="109"/>
        <v/>
      </c>
      <c r="AC219" s="20" t="str">
        <f t="shared" si="109"/>
        <v/>
      </c>
      <c r="AD219" s="20" t="str">
        <f t="shared" si="109"/>
        <v/>
      </c>
      <c r="AE219" s="20" t="str">
        <f t="shared" si="109"/>
        <v/>
      </c>
      <c r="AF219" s="20" t="str">
        <f t="shared" si="109"/>
        <v/>
      </c>
      <c r="AG219" s="20" t="str">
        <f t="shared" si="109"/>
        <v/>
      </c>
      <c r="AH219" s="20" t="str">
        <f t="shared" si="109"/>
        <v/>
      </c>
      <c r="AI219" s="20" t="str">
        <f t="shared" si="109"/>
        <v/>
      </c>
      <c r="AJ219" s="20" t="str">
        <f t="shared" si="109"/>
        <v/>
      </c>
      <c r="AK219" s="20" t="str">
        <f t="shared" si="109"/>
        <v/>
      </c>
      <c r="AL219" s="20" t="str">
        <f t="shared" si="109"/>
        <v/>
      </c>
      <c r="AM219" s="20" t="str">
        <f t="shared" si="109"/>
        <v/>
      </c>
      <c r="AN219" s="20" t="str">
        <f t="shared" si="109"/>
        <v/>
      </c>
      <c r="AO219" s="20" t="str">
        <f t="shared" si="109"/>
        <v/>
      </c>
      <c r="AP219" s="20" t="str">
        <f t="shared" si="109"/>
        <v/>
      </c>
      <c r="AQ219" s="20" t="str">
        <f t="shared" si="109"/>
        <v/>
      </c>
      <c r="AR219" s="20" t="str">
        <f t="shared" si="109"/>
        <v/>
      </c>
      <c r="AS219" s="20" t="str">
        <f t="shared" si="109"/>
        <v/>
      </c>
      <c r="AT219" s="20" t="str">
        <f t="shared" si="109"/>
        <v/>
      </c>
      <c r="AU219" s="20" t="str">
        <f t="shared" si="109"/>
        <v/>
      </c>
      <c r="AV219" s="20" t="str">
        <f t="shared" si="109"/>
        <v/>
      </c>
      <c r="AW219" s="20" t="str">
        <f t="shared" si="109"/>
        <v/>
      </c>
      <c r="AX219" s="20" t="str">
        <f t="shared" si="109"/>
        <v/>
      </c>
    </row>
    <row r="220" ht="39.75" customHeight="1">
      <c r="A220" s="13" t="str">
        <f>'Настройки'!B16</f>
        <v>Концепция 3</v>
      </c>
      <c r="B220" s="19" t="str">
        <f>IF(COUNT('Эксперт 2'!B76)=0,"",'Эксперт 2'!B76)</f>
        <v/>
      </c>
      <c r="C220" s="19" t="str">
        <f>IF(COUNT('Эксперт 2'!C76)=0,"",'Эксперт 2'!C76)</f>
        <v/>
      </c>
      <c r="D220" s="19">
        <f>IF(COUNT('Эксперт 2'!D76)=0,"",'Эксперт 2'!D76)</f>
        <v>1</v>
      </c>
      <c r="E220" s="19" t="str">
        <f>IF(COUNT('Эксперт 2'!E76)=0,"",'Эксперт 2'!E76)</f>
        <v/>
      </c>
      <c r="F220" s="19" t="str">
        <f t="shared" si="106"/>
        <v/>
      </c>
      <c r="G220" s="19" t="str">
        <f t="shared" si="107"/>
        <v/>
      </c>
      <c r="H220" s="20"/>
      <c r="I220" s="20"/>
      <c r="J220" s="20" t="str">
        <f t="shared" si="108"/>
        <v/>
      </c>
      <c r="K220" s="20" t="str">
        <f t="shared" ref="K220:AX220" si="110">IF(J220="","",($B220*J$218+$C220*J$219+$D220*J$220+$E220*J$221)/SUM(J$218:J$221))</f>
        <v/>
      </c>
      <c r="L220" s="20" t="str">
        <f t="shared" si="110"/>
        <v/>
      </c>
      <c r="M220" s="20" t="str">
        <f t="shared" si="110"/>
        <v/>
      </c>
      <c r="N220" s="20" t="str">
        <f t="shared" si="110"/>
        <v/>
      </c>
      <c r="O220" s="20" t="str">
        <f t="shared" si="110"/>
        <v/>
      </c>
      <c r="P220" s="20" t="str">
        <f t="shared" si="110"/>
        <v/>
      </c>
      <c r="Q220" s="20" t="str">
        <f t="shared" si="110"/>
        <v/>
      </c>
      <c r="R220" s="20" t="str">
        <f t="shared" si="110"/>
        <v/>
      </c>
      <c r="S220" s="20" t="str">
        <f t="shared" si="110"/>
        <v/>
      </c>
      <c r="T220" s="20" t="str">
        <f t="shared" si="110"/>
        <v/>
      </c>
      <c r="U220" s="20" t="str">
        <f t="shared" si="110"/>
        <v/>
      </c>
      <c r="V220" s="20" t="str">
        <f t="shared" si="110"/>
        <v/>
      </c>
      <c r="W220" s="20" t="str">
        <f t="shared" si="110"/>
        <v/>
      </c>
      <c r="X220" s="20" t="str">
        <f t="shared" si="110"/>
        <v/>
      </c>
      <c r="Y220" s="20" t="str">
        <f t="shared" si="110"/>
        <v/>
      </c>
      <c r="Z220" s="20" t="str">
        <f t="shared" si="110"/>
        <v/>
      </c>
      <c r="AA220" s="20" t="str">
        <f t="shared" si="110"/>
        <v/>
      </c>
      <c r="AB220" s="20" t="str">
        <f t="shared" si="110"/>
        <v/>
      </c>
      <c r="AC220" s="20" t="str">
        <f t="shared" si="110"/>
        <v/>
      </c>
      <c r="AD220" s="20" t="str">
        <f t="shared" si="110"/>
        <v/>
      </c>
      <c r="AE220" s="20" t="str">
        <f t="shared" si="110"/>
        <v/>
      </c>
      <c r="AF220" s="20" t="str">
        <f t="shared" si="110"/>
        <v/>
      </c>
      <c r="AG220" s="20" t="str">
        <f t="shared" si="110"/>
        <v/>
      </c>
      <c r="AH220" s="20" t="str">
        <f t="shared" si="110"/>
        <v/>
      </c>
      <c r="AI220" s="20" t="str">
        <f t="shared" si="110"/>
        <v/>
      </c>
      <c r="AJ220" s="20" t="str">
        <f t="shared" si="110"/>
        <v/>
      </c>
      <c r="AK220" s="20" t="str">
        <f t="shared" si="110"/>
        <v/>
      </c>
      <c r="AL220" s="20" t="str">
        <f t="shared" si="110"/>
        <v/>
      </c>
      <c r="AM220" s="20" t="str">
        <f t="shared" si="110"/>
        <v/>
      </c>
      <c r="AN220" s="20" t="str">
        <f t="shared" si="110"/>
        <v/>
      </c>
      <c r="AO220" s="20" t="str">
        <f t="shared" si="110"/>
        <v/>
      </c>
      <c r="AP220" s="20" t="str">
        <f t="shared" si="110"/>
        <v/>
      </c>
      <c r="AQ220" s="20" t="str">
        <f t="shared" si="110"/>
        <v/>
      </c>
      <c r="AR220" s="20" t="str">
        <f t="shared" si="110"/>
        <v/>
      </c>
      <c r="AS220" s="20" t="str">
        <f t="shared" si="110"/>
        <v/>
      </c>
      <c r="AT220" s="20" t="str">
        <f t="shared" si="110"/>
        <v/>
      </c>
      <c r="AU220" s="20" t="str">
        <f t="shared" si="110"/>
        <v/>
      </c>
      <c r="AV220" s="20" t="str">
        <f t="shared" si="110"/>
        <v/>
      </c>
      <c r="AW220" s="20" t="str">
        <f t="shared" si="110"/>
        <v/>
      </c>
      <c r="AX220" s="20" t="str">
        <f t="shared" si="110"/>
        <v/>
      </c>
    </row>
    <row r="221" ht="39.75" customHeight="1">
      <c r="A221" s="13" t="str">
        <f>'Настройки'!B17</f>
        <v>Концепция 4</v>
      </c>
      <c r="B221" s="19" t="str">
        <f>IF(COUNT('Эксперт 2'!B77)=0,"",'Эксперт 2'!B77)</f>
        <v/>
      </c>
      <c r="C221" s="19" t="str">
        <f>IF(COUNT('Эксперт 2'!C77)=0,"",'Эксперт 2'!C77)</f>
        <v/>
      </c>
      <c r="D221" s="19" t="str">
        <f>IF(COUNT('Эксперт 2'!D77)=0,"",'Эксперт 2'!D77)</f>
        <v/>
      </c>
      <c r="E221" s="19">
        <f>IF(COUNT('Эксперт 2'!E77)=0,"",'Эксперт 2'!E77)</f>
        <v>1</v>
      </c>
      <c r="F221" s="19" t="str">
        <f t="shared" si="106"/>
        <v/>
      </c>
      <c r="G221" s="19" t="str">
        <f t="shared" si="107"/>
        <v/>
      </c>
      <c r="H221" s="20"/>
      <c r="I221" s="20"/>
      <c r="J221" s="20" t="str">
        <f t="shared" si="108"/>
        <v/>
      </c>
      <c r="K221" s="20" t="str">
        <f t="shared" ref="K221:AX221" si="111">IF(J221="","",($B221*J$218+$C221*J$219+$D221*J$220+$E221*J$221)/SUM(J$218:J$221))</f>
        <v/>
      </c>
      <c r="L221" s="20" t="str">
        <f t="shared" si="111"/>
        <v/>
      </c>
      <c r="M221" s="20" t="str">
        <f t="shared" si="111"/>
        <v/>
      </c>
      <c r="N221" s="20" t="str">
        <f t="shared" si="111"/>
        <v/>
      </c>
      <c r="O221" s="20" t="str">
        <f t="shared" si="111"/>
        <v/>
      </c>
      <c r="P221" s="20" t="str">
        <f t="shared" si="111"/>
        <v/>
      </c>
      <c r="Q221" s="20" t="str">
        <f t="shared" si="111"/>
        <v/>
      </c>
      <c r="R221" s="20" t="str">
        <f t="shared" si="111"/>
        <v/>
      </c>
      <c r="S221" s="20" t="str">
        <f t="shared" si="111"/>
        <v/>
      </c>
      <c r="T221" s="20" t="str">
        <f t="shared" si="111"/>
        <v/>
      </c>
      <c r="U221" s="20" t="str">
        <f t="shared" si="111"/>
        <v/>
      </c>
      <c r="V221" s="20" t="str">
        <f t="shared" si="111"/>
        <v/>
      </c>
      <c r="W221" s="20" t="str">
        <f t="shared" si="111"/>
        <v/>
      </c>
      <c r="X221" s="20" t="str">
        <f t="shared" si="111"/>
        <v/>
      </c>
      <c r="Y221" s="20" t="str">
        <f t="shared" si="111"/>
        <v/>
      </c>
      <c r="Z221" s="20" t="str">
        <f t="shared" si="111"/>
        <v/>
      </c>
      <c r="AA221" s="20" t="str">
        <f t="shared" si="111"/>
        <v/>
      </c>
      <c r="AB221" s="20" t="str">
        <f t="shared" si="111"/>
        <v/>
      </c>
      <c r="AC221" s="20" t="str">
        <f t="shared" si="111"/>
        <v/>
      </c>
      <c r="AD221" s="20" t="str">
        <f t="shared" si="111"/>
        <v/>
      </c>
      <c r="AE221" s="20" t="str">
        <f t="shared" si="111"/>
        <v/>
      </c>
      <c r="AF221" s="20" t="str">
        <f t="shared" si="111"/>
        <v/>
      </c>
      <c r="AG221" s="20" t="str">
        <f t="shared" si="111"/>
        <v/>
      </c>
      <c r="AH221" s="20" t="str">
        <f t="shared" si="111"/>
        <v/>
      </c>
      <c r="AI221" s="20" t="str">
        <f t="shared" si="111"/>
        <v/>
      </c>
      <c r="AJ221" s="20" t="str">
        <f t="shared" si="111"/>
        <v/>
      </c>
      <c r="AK221" s="20" t="str">
        <f t="shared" si="111"/>
        <v/>
      </c>
      <c r="AL221" s="20" t="str">
        <f t="shared" si="111"/>
        <v/>
      </c>
      <c r="AM221" s="20" t="str">
        <f t="shared" si="111"/>
        <v/>
      </c>
      <c r="AN221" s="20" t="str">
        <f t="shared" si="111"/>
        <v/>
      </c>
      <c r="AO221" s="20" t="str">
        <f t="shared" si="111"/>
        <v/>
      </c>
      <c r="AP221" s="20" t="str">
        <f t="shared" si="111"/>
        <v/>
      </c>
      <c r="AQ221" s="20" t="str">
        <f t="shared" si="111"/>
        <v/>
      </c>
      <c r="AR221" s="20" t="str">
        <f t="shared" si="111"/>
        <v/>
      </c>
      <c r="AS221" s="20" t="str">
        <f t="shared" si="111"/>
        <v/>
      </c>
      <c r="AT221" s="20" t="str">
        <f t="shared" si="111"/>
        <v/>
      </c>
      <c r="AU221" s="20" t="str">
        <f t="shared" si="111"/>
        <v/>
      </c>
      <c r="AV221" s="20" t="str">
        <f t="shared" si="111"/>
        <v/>
      </c>
      <c r="AW221" s="20" t="str">
        <f t="shared" si="111"/>
        <v/>
      </c>
      <c r="AX221" s="20" t="str">
        <f t="shared" si="111"/>
        <v/>
      </c>
    </row>
    <row r="222" ht="22.5" customHeight="1">
      <c r="A222" s="1"/>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row>
    <row r="223" ht="22.5" customHeight="1">
      <c r="A223" s="1" t="s">
        <v>281</v>
      </c>
      <c r="B223" s="20" t="s">
        <v>282</v>
      </c>
      <c r="C223" s="20" t="s">
        <v>283</v>
      </c>
      <c r="D223" s="20" t="s">
        <v>284</v>
      </c>
      <c r="E223" s="20" t="s">
        <v>285</v>
      </c>
      <c r="F223" s="20" t="s">
        <v>286</v>
      </c>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row>
    <row r="224" ht="22.5" customHeight="1">
      <c r="A224" s="1"/>
      <c r="B224" s="20" t="str">
        <f>IF(COUNT(C224)=0,"",C224/'Настройки'!$B$32)</f>
        <v/>
      </c>
      <c r="C224" s="20" t="str">
        <f>IF(D224="","",MAX(0,(D224-4)/3))</f>
        <v/>
      </c>
      <c r="D224" s="20" t="str">
        <f>IF(COUNT(G218:G221)&lt;4,"",AVERAGE(G218:G221))</f>
        <v/>
      </c>
      <c r="E224" s="20" t="str">
        <f>IF(D224="","",SUM(F218:F221))</f>
        <v/>
      </c>
      <c r="F224" s="20" t="str">
        <f>IF(D224="","",MAX(ABS((G218-$D$224)*F218),ABS((G219-$D$224)*F219),ABS((G220-$D$224)*F220),ABS((G221-$D$224)*F221)))</f>
        <v/>
      </c>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row>
    <row r="225" ht="22.5" customHeight="1">
      <c r="A225" s="1"/>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row>
    <row r="226" ht="22.5" customHeight="1">
      <c r="A226" s="1" t="str">
        <f>IF(COUNT(B224)=0,"Нет оценок",IF(F224&gt;0.00000001,"Недостаточная сходимость",IF(B224&lt;='Настройки'!$B$31,"Согласовано","Пересмотреть сравнения")))</f>
        <v>Нет оценок</v>
      </c>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row>
    <row r="227" ht="22.5" customHeight="1">
      <c r="A227" s="1"/>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row>
    <row r="228" ht="22.5" customHeight="1">
      <c r="A228" s="1"/>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row>
    <row r="229" ht="22.5" customHeight="1">
      <c r="A229" s="1"/>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row>
    <row r="230" ht="22.5" customHeight="1">
      <c r="A230" s="1" t="s">
        <v>308</v>
      </c>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row>
    <row r="231" ht="54.0" customHeight="1">
      <c r="A231" s="3" t="s">
        <v>279</v>
      </c>
      <c r="B231" s="21" t="str">
        <f>'Настройки'!B21</f>
        <v>Практическая полезность</v>
      </c>
      <c r="C231" s="21" t="str">
        <f>'Настройки'!B22</f>
        <v>Простота реализации</v>
      </c>
      <c r="D231" s="21" t="str">
        <f>'Настройки'!B23</f>
        <v>Удобство оценки и планирования</v>
      </c>
      <c r="E231" s="21" t="str">
        <f>'Настройки'!B24</f>
        <v>Интерес команды</v>
      </c>
      <c r="F231" s="21" t="s">
        <v>274</v>
      </c>
      <c r="G231" s="21" t="s">
        <v>280</v>
      </c>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row>
    <row r="232" ht="39.75" customHeight="1">
      <c r="A232" s="13" t="str">
        <f>'Настройки'!B21</f>
        <v>Практическая полезность</v>
      </c>
      <c r="B232" s="19">
        <f>IF(COUNT('Эксперт 3'!B26)=0,"",'Эксперт 3'!B26)</f>
        <v>1</v>
      </c>
      <c r="C232" s="19" t="str">
        <f>IF(COUNT('Эксперт 3'!C26)=0,"",'Эксперт 3'!C26)</f>
        <v/>
      </c>
      <c r="D232" s="19" t="str">
        <f>IF(COUNT('Эксперт 3'!D26)=0,"",'Эксперт 3'!D26)</f>
        <v/>
      </c>
      <c r="E232" s="19" t="str">
        <f>IF(COUNT('Эксперт 3'!E26)=0,"",'Эксперт 3'!E26)</f>
        <v/>
      </c>
      <c r="F232" s="19" t="str">
        <f t="shared" ref="F232:F235" si="113">IF(AX232="","",AX232/SUM(AX$232:AX$235))</f>
        <v/>
      </c>
      <c r="G232" s="19" t="str">
        <f t="shared" ref="G232:G235" si="114">IF(F232="","",(B232*$F$232+C232*$F$233+D232*$F$234+E232*$F$235)/F232)</f>
        <v/>
      </c>
      <c r="H232" s="20"/>
      <c r="I232" s="20"/>
      <c r="J232" s="20" t="str">
        <f t="shared" ref="J232:J235" si="115">IF(COUNT($B$232:$E$235)&lt;16,"",1/4)</f>
        <v/>
      </c>
      <c r="K232" s="20" t="str">
        <f t="shared" ref="K232:AX232" si="112">IF(J232="","",($B232*J$232+$C232*J$233+$D232*J$234+$E232*J$235)/SUM(J$232:J$235))</f>
        <v/>
      </c>
      <c r="L232" s="20" t="str">
        <f t="shared" si="112"/>
        <v/>
      </c>
      <c r="M232" s="20" t="str">
        <f t="shared" si="112"/>
        <v/>
      </c>
      <c r="N232" s="20" t="str">
        <f t="shared" si="112"/>
        <v/>
      </c>
      <c r="O232" s="20" t="str">
        <f t="shared" si="112"/>
        <v/>
      </c>
      <c r="P232" s="20" t="str">
        <f t="shared" si="112"/>
        <v/>
      </c>
      <c r="Q232" s="20" t="str">
        <f t="shared" si="112"/>
        <v/>
      </c>
      <c r="R232" s="20" t="str">
        <f t="shared" si="112"/>
        <v/>
      </c>
      <c r="S232" s="20" t="str">
        <f t="shared" si="112"/>
        <v/>
      </c>
      <c r="T232" s="20" t="str">
        <f t="shared" si="112"/>
        <v/>
      </c>
      <c r="U232" s="20" t="str">
        <f t="shared" si="112"/>
        <v/>
      </c>
      <c r="V232" s="20" t="str">
        <f t="shared" si="112"/>
        <v/>
      </c>
      <c r="W232" s="20" t="str">
        <f t="shared" si="112"/>
        <v/>
      </c>
      <c r="X232" s="20" t="str">
        <f t="shared" si="112"/>
        <v/>
      </c>
      <c r="Y232" s="20" t="str">
        <f t="shared" si="112"/>
        <v/>
      </c>
      <c r="Z232" s="20" t="str">
        <f t="shared" si="112"/>
        <v/>
      </c>
      <c r="AA232" s="20" t="str">
        <f t="shared" si="112"/>
        <v/>
      </c>
      <c r="AB232" s="20" t="str">
        <f t="shared" si="112"/>
        <v/>
      </c>
      <c r="AC232" s="20" t="str">
        <f t="shared" si="112"/>
        <v/>
      </c>
      <c r="AD232" s="20" t="str">
        <f t="shared" si="112"/>
        <v/>
      </c>
      <c r="AE232" s="20" t="str">
        <f t="shared" si="112"/>
        <v/>
      </c>
      <c r="AF232" s="20" t="str">
        <f t="shared" si="112"/>
        <v/>
      </c>
      <c r="AG232" s="20" t="str">
        <f t="shared" si="112"/>
        <v/>
      </c>
      <c r="AH232" s="20" t="str">
        <f t="shared" si="112"/>
        <v/>
      </c>
      <c r="AI232" s="20" t="str">
        <f t="shared" si="112"/>
        <v/>
      </c>
      <c r="AJ232" s="20" t="str">
        <f t="shared" si="112"/>
        <v/>
      </c>
      <c r="AK232" s="20" t="str">
        <f t="shared" si="112"/>
        <v/>
      </c>
      <c r="AL232" s="20" t="str">
        <f t="shared" si="112"/>
        <v/>
      </c>
      <c r="AM232" s="20" t="str">
        <f t="shared" si="112"/>
        <v/>
      </c>
      <c r="AN232" s="20" t="str">
        <f t="shared" si="112"/>
        <v/>
      </c>
      <c r="AO232" s="20" t="str">
        <f t="shared" si="112"/>
        <v/>
      </c>
      <c r="AP232" s="20" t="str">
        <f t="shared" si="112"/>
        <v/>
      </c>
      <c r="AQ232" s="20" t="str">
        <f t="shared" si="112"/>
        <v/>
      </c>
      <c r="AR232" s="20" t="str">
        <f t="shared" si="112"/>
        <v/>
      </c>
      <c r="AS232" s="20" t="str">
        <f t="shared" si="112"/>
        <v/>
      </c>
      <c r="AT232" s="20" t="str">
        <f t="shared" si="112"/>
        <v/>
      </c>
      <c r="AU232" s="20" t="str">
        <f t="shared" si="112"/>
        <v/>
      </c>
      <c r="AV232" s="20" t="str">
        <f t="shared" si="112"/>
        <v/>
      </c>
      <c r="AW232" s="20" t="str">
        <f t="shared" si="112"/>
        <v/>
      </c>
      <c r="AX232" s="20" t="str">
        <f t="shared" si="112"/>
        <v/>
      </c>
    </row>
    <row r="233" ht="39.75" customHeight="1">
      <c r="A233" s="13" t="str">
        <f>'Настройки'!B22</f>
        <v>Простота реализации</v>
      </c>
      <c r="B233" s="19" t="str">
        <f>IF(COUNT('Эксперт 3'!B27)=0,"",'Эксперт 3'!B27)</f>
        <v/>
      </c>
      <c r="C233" s="19">
        <f>IF(COUNT('Эксперт 3'!C27)=0,"",'Эксперт 3'!C27)</f>
        <v>1</v>
      </c>
      <c r="D233" s="19" t="str">
        <f>IF(COUNT('Эксперт 3'!D27)=0,"",'Эксперт 3'!D27)</f>
        <v/>
      </c>
      <c r="E233" s="19" t="str">
        <f>IF(COUNT('Эксперт 3'!E27)=0,"",'Эксперт 3'!E27)</f>
        <v/>
      </c>
      <c r="F233" s="19" t="str">
        <f t="shared" si="113"/>
        <v/>
      </c>
      <c r="G233" s="19" t="str">
        <f t="shared" si="114"/>
        <v/>
      </c>
      <c r="H233" s="20"/>
      <c r="I233" s="20"/>
      <c r="J233" s="20" t="str">
        <f t="shared" si="115"/>
        <v/>
      </c>
      <c r="K233" s="20" t="str">
        <f t="shared" ref="K233:AX233" si="116">IF(J233="","",($B233*J$232+$C233*J$233+$D233*J$234+$E233*J$235)/SUM(J$232:J$235))</f>
        <v/>
      </c>
      <c r="L233" s="20" t="str">
        <f t="shared" si="116"/>
        <v/>
      </c>
      <c r="M233" s="20" t="str">
        <f t="shared" si="116"/>
        <v/>
      </c>
      <c r="N233" s="20" t="str">
        <f t="shared" si="116"/>
        <v/>
      </c>
      <c r="O233" s="20" t="str">
        <f t="shared" si="116"/>
        <v/>
      </c>
      <c r="P233" s="20" t="str">
        <f t="shared" si="116"/>
        <v/>
      </c>
      <c r="Q233" s="20" t="str">
        <f t="shared" si="116"/>
        <v/>
      </c>
      <c r="R233" s="20" t="str">
        <f t="shared" si="116"/>
        <v/>
      </c>
      <c r="S233" s="20" t="str">
        <f t="shared" si="116"/>
        <v/>
      </c>
      <c r="T233" s="20" t="str">
        <f t="shared" si="116"/>
        <v/>
      </c>
      <c r="U233" s="20" t="str">
        <f t="shared" si="116"/>
        <v/>
      </c>
      <c r="V233" s="20" t="str">
        <f t="shared" si="116"/>
        <v/>
      </c>
      <c r="W233" s="20" t="str">
        <f t="shared" si="116"/>
        <v/>
      </c>
      <c r="X233" s="20" t="str">
        <f t="shared" si="116"/>
        <v/>
      </c>
      <c r="Y233" s="20" t="str">
        <f t="shared" si="116"/>
        <v/>
      </c>
      <c r="Z233" s="20" t="str">
        <f t="shared" si="116"/>
        <v/>
      </c>
      <c r="AA233" s="20" t="str">
        <f t="shared" si="116"/>
        <v/>
      </c>
      <c r="AB233" s="20" t="str">
        <f t="shared" si="116"/>
        <v/>
      </c>
      <c r="AC233" s="20" t="str">
        <f t="shared" si="116"/>
        <v/>
      </c>
      <c r="AD233" s="20" t="str">
        <f t="shared" si="116"/>
        <v/>
      </c>
      <c r="AE233" s="20" t="str">
        <f t="shared" si="116"/>
        <v/>
      </c>
      <c r="AF233" s="20" t="str">
        <f t="shared" si="116"/>
        <v/>
      </c>
      <c r="AG233" s="20" t="str">
        <f t="shared" si="116"/>
        <v/>
      </c>
      <c r="AH233" s="20" t="str">
        <f t="shared" si="116"/>
        <v/>
      </c>
      <c r="AI233" s="20" t="str">
        <f t="shared" si="116"/>
        <v/>
      </c>
      <c r="AJ233" s="20" t="str">
        <f t="shared" si="116"/>
        <v/>
      </c>
      <c r="AK233" s="20" t="str">
        <f t="shared" si="116"/>
        <v/>
      </c>
      <c r="AL233" s="20" t="str">
        <f t="shared" si="116"/>
        <v/>
      </c>
      <c r="AM233" s="20" t="str">
        <f t="shared" si="116"/>
        <v/>
      </c>
      <c r="AN233" s="20" t="str">
        <f t="shared" si="116"/>
        <v/>
      </c>
      <c r="AO233" s="20" t="str">
        <f t="shared" si="116"/>
        <v/>
      </c>
      <c r="AP233" s="20" t="str">
        <f t="shared" si="116"/>
        <v/>
      </c>
      <c r="AQ233" s="20" t="str">
        <f t="shared" si="116"/>
        <v/>
      </c>
      <c r="AR233" s="20" t="str">
        <f t="shared" si="116"/>
        <v/>
      </c>
      <c r="AS233" s="20" t="str">
        <f t="shared" si="116"/>
        <v/>
      </c>
      <c r="AT233" s="20" t="str">
        <f t="shared" si="116"/>
        <v/>
      </c>
      <c r="AU233" s="20" t="str">
        <f t="shared" si="116"/>
        <v/>
      </c>
      <c r="AV233" s="20" t="str">
        <f t="shared" si="116"/>
        <v/>
      </c>
      <c r="AW233" s="20" t="str">
        <f t="shared" si="116"/>
        <v/>
      </c>
      <c r="AX233" s="20" t="str">
        <f t="shared" si="116"/>
        <v/>
      </c>
    </row>
    <row r="234" ht="39.75" customHeight="1">
      <c r="A234" s="13" t="str">
        <f>'Настройки'!B23</f>
        <v>Удобство оценки и планирования</v>
      </c>
      <c r="B234" s="19" t="str">
        <f>IF(COUNT('Эксперт 3'!B28)=0,"",'Эксперт 3'!B28)</f>
        <v/>
      </c>
      <c r="C234" s="19" t="str">
        <f>IF(COUNT('Эксперт 3'!C28)=0,"",'Эксперт 3'!C28)</f>
        <v/>
      </c>
      <c r="D234" s="19">
        <f>IF(COUNT('Эксперт 3'!D28)=0,"",'Эксперт 3'!D28)</f>
        <v>1</v>
      </c>
      <c r="E234" s="19" t="str">
        <f>IF(COUNT('Эксперт 3'!E28)=0,"",'Эксперт 3'!E28)</f>
        <v/>
      </c>
      <c r="F234" s="19" t="str">
        <f t="shared" si="113"/>
        <v/>
      </c>
      <c r="G234" s="19" t="str">
        <f t="shared" si="114"/>
        <v/>
      </c>
      <c r="H234" s="20"/>
      <c r="I234" s="20"/>
      <c r="J234" s="20" t="str">
        <f t="shared" si="115"/>
        <v/>
      </c>
      <c r="K234" s="20" t="str">
        <f t="shared" ref="K234:AX234" si="117">IF(J234="","",($B234*J$232+$C234*J$233+$D234*J$234+$E234*J$235)/SUM(J$232:J$235))</f>
        <v/>
      </c>
      <c r="L234" s="20" t="str">
        <f t="shared" si="117"/>
        <v/>
      </c>
      <c r="M234" s="20" t="str">
        <f t="shared" si="117"/>
        <v/>
      </c>
      <c r="N234" s="20" t="str">
        <f t="shared" si="117"/>
        <v/>
      </c>
      <c r="O234" s="20" t="str">
        <f t="shared" si="117"/>
        <v/>
      </c>
      <c r="P234" s="20" t="str">
        <f t="shared" si="117"/>
        <v/>
      </c>
      <c r="Q234" s="20" t="str">
        <f t="shared" si="117"/>
        <v/>
      </c>
      <c r="R234" s="20" t="str">
        <f t="shared" si="117"/>
        <v/>
      </c>
      <c r="S234" s="20" t="str">
        <f t="shared" si="117"/>
        <v/>
      </c>
      <c r="T234" s="20" t="str">
        <f t="shared" si="117"/>
        <v/>
      </c>
      <c r="U234" s="20" t="str">
        <f t="shared" si="117"/>
        <v/>
      </c>
      <c r="V234" s="20" t="str">
        <f t="shared" si="117"/>
        <v/>
      </c>
      <c r="W234" s="20" t="str">
        <f t="shared" si="117"/>
        <v/>
      </c>
      <c r="X234" s="20" t="str">
        <f t="shared" si="117"/>
        <v/>
      </c>
      <c r="Y234" s="20" t="str">
        <f t="shared" si="117"/>
        <v/>
      </c>
      <c r="Z234" s="20" t="str">
        <f t="shared" si="117"/>
        <v/>
      </c>
      <c r="AA234" s="20" t="str">
        <f t="shared" si="117"/>
        <v/>
      </c>
      <c r="AB234" s="20" t="str">
        <f t="shared" si="117"/>
        <v/>
      </c>
      <c r="AC234" s="20" t="str">
        <f t="shared" si="117"/>
        <v/>
      </c>
      <c r="AD234" s="20" t="str">
        <f t="shared" si="117"/>
        <v/>
      </c>
      <c r="AE234" s="20" t="str">
        <f t="shared" si="117"/>
        <v/>
      </c>
      <c r="AF234" s="20" t="str">
        <f t="shared" si="117"/>
        <v/>
      </c>
      <c r="AG234" s="20" t="str">
        <f t="shared" si="117"/>
        <v/>
      </c>
      <c r="AH234" s="20" t="str">
        <f t="shared" si="117"/>
        <v/>
      </c>
      <c r="AI234" s="20" t="str">
        <f t="shared" si="117"/>
        <v/>
      </c>
      <c r="AJ234" s="20" t="str">
        <f t="shared" si="117"/>
        <v/>
      </c>
      <c r="AK234" s="20" t="str">
        <f t="shared" si="117"/>
        <v/>
      </c>
      <c r="AL234" s="20" t="str">
        <f t="shared" si="117"/>
        <v/>
      </c>
      <c r="AM234" s="20" t="str">
        <f t="shared" si="117"/>
        <v/>
      </c>
      <c r="AN234" s="20" t="str">
        <f t="shared" si="117"/>
        <v/>
      </c>
      <c r="AO234" s="20" t="str">
        <f t="shared" si="117"/>
        <v/>
      </c>
      <c r="AP234" s="20" t="str">
        <f t="shared" si="117"/>
        <v/>
      </c>
      <c r="AQ234" s="20" t="str">
        <f t="shared" si="117"/>
        <v/>
      </c>
      <c r="AR234" s="20" t="str">
        <f t="shared" si="117"/>
        <v/>
      </c>
      <c r="AS234" s="20" t="str">
        <f t="shared" si="117"/>
        <v/>
      </c>
      <c r="AT234" s="20" t="str">
        <f t="shared" si="117"/>
        <v/>
      </c>
      <c r="AU234" s="20" t="str">
        <f t="shared" si="117"/>
        <v/>
      </c>
      <c r="AV234" s="20" t="str">
        <f t="shared" si="117"/>
        <v/>
      </c>
      <c r="AW234" s="20" t="str">
        <f t="shared" si="117"/>
        <v/>
      </c>
      <c r="AX234" s="20" t="str">
        <f t="shared" si="117"/>
        <v/>
      </c>
    </row>
    <row r="235" ht="39.75" customHeight="1">
      <c r="A235" s="13" t="str">
        <f>'Настройки'!B24</f>
        <v>Интерес команды</v>
      </c>
      <c r="B235" s="19" t="str">
        <f>IF(COUNT('Эксперт 3'!B29)=0,"",'Эксперт 3'!B29)</f>
        <v/>
      </c>
      <c r="C235" s="19" t="str">
        <f>IF(COUNT('Эксперт 3'!C29)=0,"",'Эксперт 3'!C29)</f>
        <v/>
      </c>
      <c r="D235" s="19" t="str">
        <f>IF(COUNT('Эксперт 3'!D29)=0,"",'Эксперт 3'!D29)</f>
        <v/>
      </c>
      <c r="E235" s="19">
        <f>IF(COUNT('Эксперт 3'!E29)=0,"",'Эксперт 3'!E29)</f>
        <v>1</v>
      </c>
      <c r="F235" s="19" t="str">
        <f t="shared" si="113"/>
        <v/>
      </c>
      <c r="G235" s="19" t="str">
        <f t="shared" si="114"/>
        <v/>
      </c>
      <c r="H235" s="20"/>
      <c r="I235" s="20"/>
      <c r="J235" s="20" t="str">
        <f t="shared" si="115"/>
        <v/>
      </c>
      <c r="K235" s="20" t="str">
        <f t="shared" ref="K235:AX235" si="118">IF(J235="","",($B235*J$232+$C235*J$233+$D235*J$234+$E235*J$235)/SUM(J$232:J$235))</f>
        <v/>
      </c>
      <c r="L235" s="20" t="str">
        <f t="shared" si="118"/>
        <v/>
      </c>
      <c r="M235" s="20" t="str">
        <f t="shared" si="118"/>
        <v/>
      </c>
      <c r="N235" s="20" t="str">
        <f t="shared" si="118"/>
        <v/>
      </c>
      <c r="O235" s="20" t="str">
        <f t="shared" si="118"/>
        <v/>
      </c>
      <c r="P235" s="20" t="str">
        <f t="shared" si="118"/>
        <v/>
      </c>
      <c r="Q235" s="20" t="str">
        <f t="shared" si="118"/>
        <v/>
      </c>
      <c r="R235" s="20" t="str">
        <f t="shared" si="118"/>
        <v/>
      </c>
      <c r="S235" s="20" t="str">
        <f t="shared" si="118"/>
        <v/>
      </c>
      <c r="T235" s="20" t="str">
        <f t="shared" si="118"/>
        <v/>
      </c>
      <c r="U235" s="20" t="str">
        <f t="shared" si="118"/>
        <v/>
      </c>
      <c r="V235" s="20" t="str">
        <f t="shared" si="118"/>
        <v/>
      </c>
      <c r="W235" s="20" t="str">
        <f t="shared" si="118"/>
        <v/>
      </c>
      <c r="X235" s="20" t="str">
        <f t="shared" si="118"/>
        <v/>
      </c>
      <c r="Y235" s="20" t="str">
        <f t="shared" si="118"/>
        <v/>
      </c>
      <c r="Z235" s="20" t="str">
        <f t="shared" si="118"/>
        <v/>
      </c>
      <c r="AA235" s="20" t="str">
        <f t="shared" si="118"/>
        <v/>
      </c>
      <c r="AB235" s="20" t="str">
        <f t="shared" si="118"/>
        <v/>
      </c>
      <c r="AC235" s="20" t="str">
        <f t="shared" si="118"/>
        <v/>
      </c>
      <c r="AD235" s="20" t="str">
        <f t="shared" si="118"/>
        <v/>
      </c>
      <c r="AE235" s="20" t="str">
        <f t="shared" si="118"/>
        <v/>
      </c>
      <c r="AF235" s="20" t="str">
        <f t="shared" si="118"/>
        <v/>
      </c>
      <c r="AG235" s="20" t="str">
        <f t="shared" si="118"/>
        <v/>
      </c>
      <c r="AH235" s="20" t="str">
        <f t="shared" si="118"/>
        <v/>
      </c>
      <c r="AI235" s="20" t="str">
        <f t="shared" si="118"/>
        <v/>
      </c>
      <c r="AJ235" s="20" t="str">
        <f t="shared" si="118"/>
        <v/>
      </c>
      <c r="AK235" s="20" t="str">
        <f t="shared" si="118"/>
        <v/>
      </c>
      <c r="AL235" s="20" t="str">
        <f t="shared" si="118"/>
        <v/>
      </c>
      <c r="AM235" s="20" t="str">
        <f t="shared" si="118"/>
        <v/>
      </c>
      <c r="AN235" s="20" t="str">
        <f t="shared" si="118"/>
        <v/>
      </c>
      <c r="AO235" s="20" t="str">
        <f t="shared" si="118"/>
        <v/>
      </c>
      <c r="AP235" s="20" t="str">
        <f t="shared" si="118"/>
        <v/>
      </c>
      <c r="AQ235" s="20" t="str">
        <f t="shared" si="118"/>
        <v/>
      </c>
      <c r="AR235" s="20" t="str">
        <f t="shared" si="118"/>
        <v/>
      </c>
      <c r="AS235" s="20" t="str">
        <f t="shared" si="118"/>
        <v/>
      </c>
      <c r="AT235" s="20" t="str">
        <f t="shared" si="118"/>
        <v/>
      </c>
      <c r="AU235" s="20" t="str">
        <f t="shared" si="118"/>
        <v/>
      </c>
      <c r="AV235" s="20" t="str">
        <f t="shared" si="118"/>
        <v/>
      </c>
      <c r="AW235" s="20" t="str">
        <f t="shared" si="118"/>
        <v/>
      </c>
      <c r="AX235" s="20" t="str">
        <f t="shared" si="118"/>
        <v/>
      </c>
    </row>
    <row r="236" ht="22.5" customHeight="1">
      <c r="A236" s="1"/>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row>
    <row r="237" ht="22.5" customHeight="1">
      <c r="A237" s="1" t="s">
        <v>281</v>
      </c>
      <c r="B237" s="20" t="s">
        <v>282</v>
      </c>
      <c r="C237" s="20" t="s">
        <v>283</v>
      </c>
      <c r="D237" s="20" t="s">
        <v>284</v>
      </c>
      <c r="E237" s="20" t="s">
        <v>285</v>
      </c>
      <c r="F237" s="20" t="s">
        <v>286</v>
      </c>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row>
    <row r="238" ht="22.5" customHeight="1">
      <c r="A238" s="1"/>
      <c r="B238" s="20" t="str">
        <f>IF(COUNT(C238)=0,"",C238/'Настройки'!$B$32)</f>
        <v/>
      </c>
      <c r="C238" s="20" t="str">
        <f>IF(D238="","",MAX(0,(D238-4)/3))</f>
        <v/>
      </c>
      <c r="D238" s="20" t="str">
        <f>IF(COUNT(G232:G235)&lt;4,"",AVERAGE(G232:G235))</f>
        <v/>
      </c>
      <c r="E238" s="20" t="str">
        <f>IF(D238="","",SUM(F232:F235))</f>
        <v/>
      </c>
      <c r="F238" s="20" t="str">
        <f>IF(D238="","",MAX(ABS((G232-$D$238)*F232),ABS((G233-$D$238)*F233),ABS((G234-$D$238)*F234),ABS((G235-$D$238)*F235)))</f>
        <v/>
      </c>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row>
    <row r="239" ht="22.5" customHeight="1">
      <c r="A239" s="1"/>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row>
    <row r="240" ht="22.5" customHeight="1">
      <c r="A240" s="1" t="str">
        <f>IF(COUNT(B238)=0,"Нет оценок",IF(F238&gt;0.00000001,"Недостаточная сходимость",IF(B238&lt;='Настройки'!$B$31,"Согласовано","Пересмотреть сравнения")))</f>
        <v>Нет оценок</v>
      </c>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row>
    <row r="241" ht="22.5" customHeight="1">
      <c r="A241" s="1"/>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row>
    <row r="242" ht="22.5" customHeight="1">
      <c r="A242" s="1"/>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row>
    <row r="243" ht="22.5" customHeight="1">
      <c r="A243" s="1"/>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row>
    <row r="244" ht="22.5" customHeight="1">
      <c r="A244" s="1" t="s">
        <v>309</v>
      </c>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row>
    <row r="245" ht="54.0" customHeight="1">
      <c r="A245" s="3" t="s">
        <v>279</v>
      </c>
      <c r="B245" s="21" t="str">
        <f>'Настройки'!B14</f>
        <v>Детейлинг-центр</v>
      </c>
      <c r="C245" s="21" t="str">
        <f>'Настройки'!B15</f>
        <v>Планировщик покупок</v>
      </c>
      <c r="D245" s="21" t="str">
        <f>'Настройки'!B16</f>
        <v>Концепция 3</v>
      </c>
      <c r="E245" s="21" t="str">
        <f>'Настройки'!B17</f>
        <v>Концепция 4</v>
      </c>
      <c r="F245" s="21" t="s">
        <v>274</v>
      </c>
      <c r="G245" s="21" t="s">
        <v>280</v>
      </c>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row>
    <row r="246" ht="39.75" customHeight="1">
      <c r="A246" s="13" t="str">
        <f>'Настройки'!B14</f>
        <v>Детейлинг-центр</v>
      </c>
      <c r="B246" s="19">
        <f>IF(COUNT('Эксперт 3'!B38)=0,"",'Эксперт 3'!B38)</f>
        <v>1</v>
      </c>
      <c r="C246" s="19" t="str">
        <f>IF(COUNT('Эксперт 3'!C38)=0,"",'Эксперт 3'!C38)</f>
        <v/>
      </c>
      <c r="D246" s="19" t="str">
        <f>IF(COUNT('Эксперт 3'!D38)=0,"",'Эксперт 3'!D38)</f>
        <v/>
      </c>
      <c r="E246" s="19" t="str">
        <f>IF(COUNT('Эксперт 3'!E38)=0,"",'Эксперт 3'!E38)</f>
        <v/>
      </c>
      <c r="F246" s="19" t="str">
        <f t="shared" ref="F246:F249" si="120">IF(AX246="","",AX246/SUM(AX$246:AX$249))</f>
        <v/>
      </c>
      <c r="G246" s="19" t="str">
        <f t="shared" ref="G246:G249" si="121">IF(F246="","",(B246*$F$246+C246*$F$247+D246*$F$248+E246*$F$249)/F246)</f>
        <v/>
      </c>
      <c r="H246" s="20"/>
      <c r="I246" s="20"/>
      <c r="J246" s="20" t="str">
        <f t="shared" ref="J246:J249" si="122">IF(COUNT($B$246:$E$249)&lt;16,"",1/4)</f>
        <v/>
      </c>
      <c r="K246" s="20" t="str">
        <f t="shared" ref="K246:AX246" si="119">IF(J246="","",($B246*J$246+$C246*J$247+$D246*J$248+$E246*J$249)/SUM(J$246:J$249))</f>
        <v/>
      </c>
      <c r="L246" s="20" t="str">
        <f t="shared" si="119"/>
        <v/>
      </c>
      <c r="M246" s="20" t="str">
        <f t="shared" si="119"/>
        <v/>
      </c>
      <c r="N246" s="20" t="str">
        <f t="shared" si="119"/>
        <v/>
      </c>
      <c r="O246" s="20" t="str">
        <f t="shared" si="119"/>
        <v/>
      </c>
      <c r="P246" s="20" t="str">
        <f t="shared" si="119"/>
        <v/>
      </c>
      <c r="Q246" s="20" t="str">
        <f t="shared" si="119"/>
        <v/>
      </c>
      <c r="R246" s="20" t="str">
        <f t="shared" si="119"/>
        <v/>
      </c>
      <c r="S246" s="20" t="str">
        <f t="shared" si="119"/>
        <v/>
      </c>
      <c r="T246" s="20" t="str">
        <f t="shared" si="119"/>
        <v/>
      </c>
      <c r="U246" s="20" t="str">
        <f t="shared" si="119"/>
        <v/>
      </c>
      <c r="V246" s="20" t="str">
        <f t="shared" si="119"/>
        <v/>
      </c>
      <c r="W246" s="20" t="str">
        <f t="shared" si="119"/>
        <v/>
      </c>
      <c r="X246" s="20" t="str">
        <f t="shared" si="119"/>
        <v/>
      </c>
      <c r="Y246" s="20" t="str">
        <f t="shared" si="119"/>
        <v/>
      </c>
      <c r="Z246" s="20" t="str">
        <f t="shared" si="119"/>
        <v/>
      </c>
      <c r="AA246" s="20" t="str">
        <f t="shared" si="119"/>
        <v/>
      </c>
      <c r="AB246" s="20" t="str">
        <f t="shared" si="119"/>
        <v/>
      </c>
      <c r="AC246" s="20" t="str">
        <f t="shared" si="119"/>
        <v/>
      </c>
      <c r="AD246" s="20" t="str">
        <f t="shared" si="119"/>
        <v/>
      </c>
      <c r="AE246" s="20" t="str">
        <f t="shared" si="119"/>
        <v/>
      </c>
      <c r="AF246" s="20" t="str">
        <f t="shared" si="119"/>
        <v/>
      </c>
      <c r="AG246" s="20" t="str">
        <f t="shared" si="119"/>
        <v/>
      </c>
      <c r="AH246" s="20" t="str">
        <f t="shared" si="119"/>
        <v/>
      </c>
      <c r="AI246" s="20" t="str">
        <f t="shared" si="119"/>
        <v/>
      </c>
      <c r="AJ246" s="20" t="str">
        <f t="shared" si="119"/>
        <v/>
      </c>
      <c r="AK246" s="20" t="str">
        <f t="shared" si="119"/>
        <v/>
      </c>
      <c r="AL246" s="20" t="str">
        <f t="shared" si="119"/>
        <v/>
      </c>
      <c r="AM246" s="20" t="str">
        <f t="shared" si="119"/>
        <v/>
      </c>
      <c r="AN246" s="20" t="str">
        <f t="shared" si="119"/>
        <v/>
      </c>
      <c r="AO246" s="20" t="str">
        <f t="shared" si="119"/>
        <v/>
      </c>
      <c r="AP246" s="20" t="str">
        <f t="shared" si="119"/>
        <v/>
      </c>
      <c r="AQ246" s="20" t="str">
        <f t="shared" si="119"/>
        <v/>
      </c>
      <c r="AR246" s="20" t="str">
        <f t="shared" si="119"/>
        <v/>
      </c>
      <c r="AS246" s="20" t="str">
        <f t="shared" si="119"/>
        <v/>
      </c>
      <c r="AT246" s="20" t="str">
        <f t="shared" si="119"/>
        <v/>
      </c>
      <c r="AU246" s="20" t="str">
        <f t="shared" si="119"/>
        <v/>
      </c>
      <c r="AV246" s="20" t="str">
        <f t="shared" si="119"/>
        <v/>
      </c>
      <c r="AW246" s="20" t="str">
        <f t="shared" si="119"/>
        <v/>
      </c>
      <c r="AX246" s="20" t="str">
        <f t="shared" si="119"/>
        <v/>
      </c>
    </row>
    <row r="247" ht="39.75" customHeight="1">
      <c r="A247" s="13" t="str">
        <f>'Настройки'!B15</f>
        <v>Планировщик покупок</v>
      </c>
      <c r="B247" s="19" t="str">
        <f>IF(COUNT('Эксперт 3'!B39)=0,"",'Эксперт 3'!B39)</f>
        <v/>
      </c>
      <c r="C247" s="19">
        <f>IF(COUNT('Эксперт 3'!C39)=0,"",'Эксперт 3'!C39)</f>
        <v>1</v>
      </c>
      <c r="D247" s="19" t="str">
        <f>IF(COUNT('Эксперт 3'!D39)=0,"",'Эксперт 3'!D39)</f>
        <v/>
      </c>
      <c r="E247" s="19" t="str">
        <f>IF(COUNT('Эксперт 3'!E39)=0,"",'Эксперт 3'!E39)</f>
        <v/>
      </c>
      <c r="F247" s="19" t="str">
        <f t="shared" si="120"/>
        <v/>
      </c>
      <c r="G247" s="19" t="str">
        <f t="shared" si="121"/>
        <v/>
      </c>
      <c r="H247" s="20"/>
      <c r="I247" s="20"/>
      <c r="J247" s="20" t="str">
        <f t="shared" si="122"/>
        <v/>
      </c>
      <c r="K247" s="20" t="str">
        <f t="shared" ref="K247:AX247" si="123">IF(J247="","",($B247*J$246+$C247*J$247+$D247*J$248+$E247*J$249)/SUM(J$246:J$249))</f>
        <v/>
      </c>
      <c r="L247" s="20" t="str">
        <f t="shared" si="123"/>
        <v/>
      </c>
      <c r="M247" s="20" t="str">
        <f t="shared" si="123"/>
        <v/>
      </c>
      <c r="N247" s="20" t="str">
        <f t="shared" si="123"/>
        <v/>
      </c>
      <c r="O247" s="20" t="str">
        <f t="shared" si="123"/>
        <v/>
      </c>
      <c r="P247" s="20" t="str">
        <f t="shared" si="123"/>
        <v/>
      </c>
      <c r="Q247" s="20" t="str">
        <f t="shared" si="123"/>
        <v/>
      </c>
      <c r="R247" s="20" t="str">
        <f t="shared" si="123"/>
        <v/>
      </c>
      <c r="S247" s="20" t="str">
        <f t="shared" si="123"/>
        <v/>
      </c>
      <c r="T247" s="20" t="str">
        <f t="shared" si="123"/>
        <v/>
      </c>
      <c r="U247" s="20" t="str">
        <f t="shared" si="123"/>
        <v/>
      </c>
      <c r="V247" s="20" t="str">
        <f t="shared" si="123"/>
        <v/>
      </c>
      <c r="W247" s="20" t="str">
        <f t="shared" si="123"/>
        <v/>
      </c>
      <c r="X247" s="20" t="str">
        <f t="shared" si="123"/>
        <v/>
      </c>
      <c r="Y247" s="20" t="str">
        <f t="shared" si="123"/>
        <v/>
      </c>
      <c r="Z247" s="20" t="str">
        <f t="shared" si="123"/>
        <v/>
      </c>
      <c r="AA247" s="20" t="str">
        <f t="shared" si="123"/>
        <v/>
      </c>
      <c r="AB247" s="20" t="str">
        <f t="shared" si="123"/>
        <v/>
      </c>
      <c r="AC247" s="20" t="str">
        <f t="shared" si="123"/>
        <v/>
      </c>
      <c r="AD247" s="20" t="str">
        <f t="shared" si="123"/>
        <v/>
      </c>
      <c r="AE247" s="20" t="str">
        <f t="shared" si="123"/>
        <v/>
      </c>
      <c r="AF247" s="20" t="str">
        <f t="shared" si="123"/>
        <v/>
      </c>
      <c r="AG247" s="20" t="str">
        <f t="shared" si="123"/>
        <v/>
      </c>
      <c r="AH247" s="20" t="str">
        <f t="shared" si="123"/>
        <v/>
      </c>
      <c r="AI247" s="20" t="str">
        <f t="shared" si="123"/>
        <v/>
      </c>
      <c r="AJ247" s="20" t="str">
        <f t="shared" si="123"/>
        <v/>
      </c>
      <c r="AK247" s="20" t="str">
        <f t="shared" si="123"/>
        <v/>
      </c>
      <c r="AL247" s="20" t="str">
        <f t="shared" si="123"/>
        <v/>
      </c>
      <c r="AM247" s="20" t="str">
        <f t="shared" si="123"/>
        <v/>
      </c>
      <c r="AN247" s="20" t="str">
        <f t="shared" si="123"/>
        <v/>
      </c>
      <c r="AO247" s="20" t="str">
        <f t="shared" si="123"/>
        <v/>
      </c>
      <c r="AP247" s="20" t="str">
        <f t="shared" si="123"/>
        <v/>
      </c>
      <c r="AQ247" s="20" t="str">
        <f t="shared" si="123"/>
        <v/>
      </c>
      <c r="AR247" s="20" t="str">
        <f t="shared" si="123"/>
        <v/>
      </c>
      <c r="AS247" s="20" t="str">
        <f t="shared" si="123"/>
        <v/>
      </c>
      <c r="AT247" s="20" t="str">
        <f t="shared" si="123"/>
        <v/>
      </c>
      <c r="AU247" s="20" t="str">
        <f t="shared" si="123"/>
        <v/>
      </c>
      <c r="AV247" s="20" t="str">
        <f t="shared" si="123"/>
        <v/>
      </c>
      <c r="AW247" s="20" t="str">
        <f t="shared" si="123"/>
        <v/>
      </c>
      <c r="AX247" s="20" t="str">
        <f t="shared" si="123"/>
        <v/>
      </c>
    </row>
    <row r="248" ht="39.75" customHeight="1">
      <c r="A248" s="13" t="str">
        <f>'Настройки'!B16</f>
        <v>Концепция 3</v>
      </c>
      <c r="B248" s="19" t="str">
        <f>IF(COUNT('Эксперт 3'!B40)=0,"",'Эксперт 3'!B40)</f>
        <v/>
      </c>
      <c r="C248" s="19" t="str">
        <f>IF(COUNT('Эксперт 3'!C40)=0,"",'Эксперт 3'!C40)</f>
        <v/>
      </c>
      <c r="D248" s="19">
        <f>IF(COUNT('Эксперт 3'!D40)=0,"",'Эксперт 3'!D40)</f>
        <v>1</v>
      </c>
      <c r="E248" s="19" t="str">
        <f>IF(COUNT('Эксперт 3'!E40)=0,"",'Эксперт 3'!E40)</f>
        <v/>
      </c>
      <c r="F248" s="19" t="str">
        <f t="shared" si="120"/>
        <v/>
      </c>
      <c r="G248" s="19" t="str">
        <f t="shared" si="121"/>
        <v/>
      </c>
      <c r="H248" s="20"/>
      <c r="I248" s="20"/>
      <c r="J248" s="20" t="str">
        <f t="shared" si="122"/>
        <v/>
      </c>
      <c r="K248" s="20" t="str">
        <f t="shared" ref="K248:AX248" si="124">IF(J248="","",($B248*J$246+$C248*J$247+$D248*J$248+$E248*J$249)/SUM(J$246:J$249))</f>
        <v/>
      </c>
      <c r="L248" s="20" t="str">
        <f t="shared" si="124"/>
        <v/>
      </c>
      <c r="M248" s="20" t="str">
        <f t="shared" si="124"/>
        <v/>
      </c>
      <c r="N248" s="20" t="str">
        <f t="shared" si="124"/>
        <v/>
      </c>
      <c r="O248" s="20" t="str">
        <f t="shared" si="124"/>
        <v/>
      </c>
      <c r="P248" s="20" t="str">
        <f t="shared" si="124"/>
        <v/>
      </c>
      <c r="Q248" s="20" t="str">
        <f t="shared" si="124"/>
        <v/>
      </c>
      <c r="R248" s="20" t="str">
        <f t="shared" si="124"/>
        <v/>
      </c>
      <c r="S248" s="20" t="str">
        <f t="shared" si="124"/>
        <v/>
      </c>
      <c r="T248" s="20" t="str">
        <f t="shared" si="124"/>
        <v/>
      </c>
      <c r="U248" s="20" t="str">
        <f t="shared" si="124"/>
        <v/>
      </c>
      <c r="V248" s="20" t="str">
        <f t="shared" si="124"/>
        <v/>
      </c>
      <c r="W248" s="20" t="str">
        <f t="shared" si="124"/>
        <v/>
      </c>
      <c r="X248" s="20" t="str">
        <f t="shared" si="124"/>
        <v/>
      </c>
      <c r="Y248" s="20" t="str">
        <f t="shared" si="124"/>
        <v/>
      </c>
      <c r="Z248" s="20" t="str">
        <f t="shared" si="124"/>
        <v/>
      </c>
      <c r="AA248" s="20" t="str">
        <f t="shared" si="124"/>
        <v/>
      </c>
      <c r="AB248" s="20" t="str">
        <f t="shared" si="124"/>
        <v/>
      </c>
      <c r="AC248" s="20" t="str">
        <f t="shared" si="124"/>
        <v/>
      </c>
      <c r="AD248" s="20" t="str">
        <f t="shared" si="124"/>
        <v/>
      </c>
      <c r="AE248" s="20" t="str">
        <f t="shared" si="124"/>
        <v/>
      </c>
      <c r="AF248" s="20" t="str">
        <f t="shared" si="124"/>
        <v/>
      </c>
      <c r="AG248" s="20" t="str">
        <f t="shared" si="124"/>
        <v/>
      </c>
      <c r="AH248" s="20" t="str">
        <f t="shared" si="124"/>
        <v/>
      </c>
      <c r="AI248" s="20" t="str">
        <f t="shared" si="124"/>
        <v/>
      </c>
      <c r="AJ248" s="20" t="str">
        <f t="shared" si="124"/>
        <v/>
      </c>
      <c r="AK248" s="20" t="str">
        <f t="shared" si="124"/>
        <v/>
      </c>
      <c r="AL248" s="20" t="str">
        <f t="shared" si="124"/>
        <v/>
      </c>
      <c r="AM248" s="20" t="str">
        <f t="shared" si="124"/>
        <v/>
      </c>
      <c r="AN248" s="20" t="str">
        <f t="shared" si="124"/>
        <v/>
      </c>
      <c r="AO248" s="20" t="str">
        <f t="shared" si="124"/>
        <v/>
      </c>
      <c r="AP248" s="20" t="str">
        <f t="shared" si="124"/>
        <v/>
      </c>
      <c r="AQ248" s="20" t="str">
        <f t="shared" si="124"/>
        <v/>
      </c>
      <c r="AR248" s="20" t="str">
        <f t="shared" si="124"/>
        <v/>
      </c>
      <c r="AS248" s="20" t="str">
        <f t="shared" si="124"/>
        <v/>
      </c>
      <c r="AT248" s="20" t="str">
        <f t="shared" si="124"/>
        <v/>
      </c>
      <c r="AU248" s="20" t="str">
        <f t="shared" si="124"/>
        <v/>
      </c>
      <c r="AV248" s="20" t="str">
        <f t="shared" si="124"/>
        <v/>
      </c>
      <c r="AW248" s="20" t="str">
        <f t="shared" si="124"/>
        <v/>
      </c>
      <c r="AX248" s="20" t="str">
        <f t="shared" si="124"/>
        <v/>
      </c>
    </row>
    <row r="249" ht="39.75" customHeight="1">
      <c r="A249" s="13" t="str">
        <f>'Настройки'!B17</f>
        <v>Концепция 4</v>
      </c>
      <c r="B249" s="19" t="str">
        <f>IF(COUNT('Эксперт 3'!B41)=0,"",'Эксперт 3'!B41)</f>
        <v/>
      </c>
      <c r="C249" s="19" t="str">
        <f>IF(COUNT('Эксперт 3'!C41)=0,"",'Эксперт 3'!C41)</f>
        <v/>
      </c>
      <c r="D249" s="19" t="str">
        <f>IF(COUNT('Эксперт 3'!D41)=0,"",'Эксперт 3'!D41)</f>
        <v/>
      </c>
      <c r="E249" s="19">
        <f>IF(COUNT('Эксперт 3'!E41)=0,"",'Эксперт 3'!E41)</f>
        <v>1</v>
      </c>
      <c r="F249" s="19" t="str">
        <f t="shared" si="120"/>
        <v/>
      </c>
      <c r="G249" s="19" t="str">
        <f t="shared" si="121"/>
        <v/>
      </c>
      <c r="H249" s="20"/>
      <c r="I249" s="20"/>
      <c r="J249" s="20" t="str">
        <f t="shared" si="122"/>
        <v/>
      </c>
      <c r="K249" s="20" t="str">
        <f t="shared" ref="K249:AX249" si="125">IF(J249="","",($B249*J$246+$C249*J$247+$D249*J$248+$E249*J$249)/SUM(J$246:J$249))</f>
        <v/>
      </c>
      <c r="L249" s="20" t="str">
        <f t="shared" si="125"/>
        <v/>
      </c>
      <c r="M249" s="20" t="str">
        <f t="shared" si="125"/>
        <v/>
      </c>
      <c r="N249" s="20" t="str">
        <f t="shared" si="125"/>
        <v/>
      </c>
      <c r="O249" s="20" t="str">
        <f t="shared" si="125"/>
        <v/>
      </c>
      <c r="P249" s="20" t="str">
        <f t="shared" si="125"/>
        <v/>
      </c>
      <c r="Q249" s="20" t="str">
        <f t="shared" si="125"/>
        <v/>
      </c>
      <c r="R249" s="20" t="str">
        <f t="shared" si="125"/>
        <v/>
      </c>
      <c r="S249" s="20" t="str">
        <f t="shared" si="125"/>
        <v/>
      </c>
      <c r="T249" s="20" t="str">
        <f t="shared" si="125"/>
        <v/>
      </c>
      <c r="U249" s="20" t="str">
        <f t="shared" si="125"/>
        <v/>
      </c>
      <c r="V249" s="20" t="str">
        <f t="shared" si="125"/>
        <v/>
      </c>
      <c r="W249" s="20" t="str">
        <f t="shared" si="125"/>
        <v/>
      </c>
      <c r="X249" s="20" t="str">
        <f t="shared" si="125"/>
        <v/>
      </c>
      <c r="Y249" s="20" t="str">
        <f t="shared" si="125"/>
        <v/>
      </c>
      <c r="Z249" s="20" t="str">
        <f t="shared" si="125"/>
        <v/>
      </c>
      <c r="AA249" s="20" t="str">
        <f t="shared" si="125"/>
        <v/>
      </c>
      <c r="AB249" s="20" t="str">
        <f t="shared" si="125"/>
        <v/>
      </c>
      <c r="AC249" s="20" t="str">
        <f t="shared" si="125"/>
        <v/>
      </c>
      <c r="AD249" s="20" t="str">
        <f t="shared" si="125"/>
        <v/>
      </c>
      <c r="AE249" s="20" t="str">
        <f t="shared" si="125"/>
        <v/>
      </c>
      <c r="AF249" s="20" t="str">
        <f t="shared" si="125"/>
        <v/>
      </c>
      <c r="AG249" s="20" t="str">
        <f t="shared" si="125"/>
        <v/>
      </c>
      <c r="AH249" s="20" t="str">
        <f t="shared" si="125"/>
        <v/>
      </c>
      <c r="AI249" s="20" t="str">
        <f t="shared" si="125"/>
        <v/>
      </c>
      <c r="AJ249" s="20" t="str">
        <f t="shared" si="125"/>
        <v/>
      </c>
      <c r="AK249" s="20" t="str">
        <f t="shared" si="125"/>
        <v/>
      </c>
      <c r="AL249" s="20" t="str">
        <f t="shared" si="125"/>
        <v/>
      </c>
      <c r="AM249" s="20" t="str">
        <f t="shared" si="125"/>
        <v/>
      </c>
      <c r="AN249" s="20" t="str">
        <f t="shared" si="125"/>
        <v/>
      </c>
      <c r="AO249" s="20" t="str">
        <f t="shared" si="125"/>
        <v/>
      </c>
      <c r="AP249" s="20" t="str">
        <f t="shared" si="125"/>
        <v/>
      </c>
      <c r="AQ249" s="20" t="str">
        <f t="shared" si="125"/>
        <v/>
      </c>
      <c r="AR249" s="20" t="str">
        <f t="shared" si="125"/>
        <v/>
      </c>
      <c r="AS249" s="20" t="str">
        <f t="shared" si="125"/>
        <v/>
      </c>
      <c r="AT249" s="20" t="str">
        <f t="shared" si="125"/>
        <v/>
      </c>
      <c r="AU249" s="20" t="str">
        <f t="shared" si="125"/>
        <v/>
      </c>
      <c r="AV249" s="20" t="str">
        <f t="shared" si="125"/>
        <v/>
      </c>
      <c r="AW249" s="20" t="str">
        <f t="shared" si="125"/>
        <v/>
      </c>
      <c r="AX249" s="20" t="str">
        <f t="shared" si="125"/>
        <v/>
      </c>
    </row>
    <row r="250" ht="22.5" customHeight="1">
      <c r="A250" s="1"/>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row>
    <row r="251" ht="22.5" customHeight="1">
      <c r="A251" s="1" t="s">
        <v>281</v>
      </c>
      <c r="B251" s="20" t="s">
        <v>282</v>
      </c>
      <c r="C251" s="20" t="s">
        <v>283</v>
      </c>
      <c r="D251" s="20" t="s">
        <v>284</v>
      </c>
      <c r="E251" s="20" t="s">
        <v>285</v>
      </c>
      <c r="F251" s="20" t="s">
        <v>286</v>
      </c>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row>
    <row r="252" ht="22.5" customHeight="1">
      <c r="A252" s="1"/>
      <c r="B252" s="20" t="str">
        <f>IF(COUNT(C252)=0,"",C252/'Настройки'!$B$32)</f>
        <v/>
      </c>
      <c r="C252" s="20" t="str">
        <f>IF(D252="","",MAX(0,(D252-4)/3))</f>
        <v/>
      </c>
      <c r="D252" s="20" t="str">
        <f>IF(COUNT(G246:G249)&lt;4,"",AVERAGE(G246:G249))</f>
        <v/>
      </c>
      <c r="E252" s="20" t="str">
        <f>IF(D252="","",SUM(F246:F249))</f>
        <v/>
      </c>
      <c r="F252" s="20" t="str">
        <f>IF(D252="","",MAX(ABS((G246-$D$252)*F246),ABS((G247-$D$252)*F247),ABS((G248-$D$252)*F248),ABS((G249-$D$252)*F249)))</f>
        <v/>
      </c>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row>
    <row r="253" ht="22.5" customHeight="1">
      <c r="A253" s="1"/>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row>
    <row r="254" ht="22.5" customHeight="1">
      <c r="A254" s="1" t="str">
        <f>IF(COUNT(B252)=0,"Нет оценок",IF(F252&gt;0.00000001,"Недостаточная сходимость",IF(B252&lt;='Настройки'!$B$31,"Согласовано","Пересмотреть сравнения")))</f>
        <v>Нет оценок</v>
      </c>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row>
    <row r="255" ht="22.5" customHeight="1">
      <c r="A255" s="1"/>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row>
    <row r="256" ht="22.5" customHeight="1">
      <c r="A256" s="1"/>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row>
    <row r="257" ht="22.5" customHeight="1">
      <c r="A257" s="1"/>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row>
    <row r="258" ht="22.5" customHeight="1">
      <c r="A258" s="1" t="s">
        <v>310</v>
      </c>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row>
    <row r="259" ht="54.0" customHeight="1">
      <c r="A259" s="3" t="s">
        <v>279</v>
      </c>
      <c r="B259" s="21" t="str">
        <f>'Настройки'!B14</f>
        <v>Детейлинг-центр</v>
      </c>
      <c r="C259" s="21" t="str">
        <f>'Настройки'!B15</f>
        <v>Планировщик покупок</v>
      </c>
      <c r="D259" s="21" t="str">
        <f>'Настройки'!B16</f>
        <v>Концепция 3</v>
      </c>
      <c r="E259" s="21" t="str">
        <f>'Настройки'!B17</f>
        <v>Концепция 4</v>
      </c>
      <c r="F259" s="21" t="s">
        <v>274</v>
      </c>
      <c r="G259" s="21" t="s">
        <v>280</v>
      </c>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row>
    <row r="260" ht="39.75" customHeight="1">
      <c r="A260" s="13" t="str">
        <f>'Настройки'!B14</f>
        <v>Детейлинг-центр</v>
      </c>
      <c r="B260" s="19">
        <f>IF(COUNT('Эксперт 3'!B50)=0,"",'Эксперт 3'!B50)</f>
        <v>1</v>
      </c>
      <c r="C260" s="19" t="str">
        <f>IF(COUNT('Эксперт 3'!C50)=0,"",'Эксперт 3'!C50)</f>
        <v/>
      </c>
      <c r="D260" s="19" t="str">
        <f>IF(COUNT('Эксперт 3'!D50)=0,"",'Эксперт 3'!D50)</f>
        <v/>
      </c>
      <c r="E260" s="19" t="str">
        <f>IF(COUNT('Эксперт 3'!E50)=0,"",'Эксперт 3'!E50)</f>
        <v/>
      </c>
      <c r="F260" s="19" t="str">
        <f t="shared" ref="F260:F263" si="127">IF(AX260="","",AX260/SUM(AX$260:AX$263))</f>
        <v/>
      </c>
      <c r="G260" s="19" t="str">
        <f t="shared" ref="G260:G263" si="128">IF(F260="","",(B260*$F$260+C260*$F$261+D260*$F$262+E260*$F$263)/F260)</f>
        <v/>
      </c>
      <c r="H260" s="20"/>
      <c r="I260" s="20"/>
      <c r="J260" s="20" t="str">
        <f t="shared" ref="J260:J263" si="129">IF(COUNT($B$260:$E$263)&lt;16,"",1/4)</f>
        <v/>
      </c>
      <c r="K260" s="20" t="str">
        <f t="shared" ref="K260:AX260" si="126">IF(J260="","",($B260*J$260+$C260*J$261+$D260*J$262+$E260*J$263)/SUM(J$260:J$263))</f>
        <v/>
      </c>
      <c r="L260" s="20" t="str">
        <f t="shared" si="126"/>
        <v/>
      </c>
      <c r="M260" s="20" t="str">
        <f t="shared" si="126"/>
        <v/>
      </c>
      <c r="N260" s="20" t="str">
        <f t="shared" si="126"/>
        <v/>
      </c>
      <c r="O260" s="20" t="str">
        <f t="shared" si="126"/>
        <v/>
      </c>
      <c r="P260" s="20" t="str">
        <f t="shared" si="126"/>
        <v/>
      </c>
      <c r="Q260" s="20" t="str">
        <f t="shared" si="126"/>
        <v/>
      </c>
      <c r="R260" s="20" t="str">
        <f t="shared" si="126"/>
        <v/>
      </c>
      <c r="S260" s="20" t="str">
        <f t="shared" si="126"/>
        <v/>
      </c>
      <c r="T260" s="20" t="str">
        <f t="shared" si="126"/>
        <v/>
      </c>
      <c r="U260" s="20" t="str">
        <f t="shared" si="126"/>
        <v/>
      </c>
      <c r="V260" s="20" t="str">
        <f t="shared" si="126"/>
        <v/>
      </c>
      <c r="W260" s="20" t="str">
        <f t="shared" si="126"/>
        <v/>
      </c>
      <c r="X260" s="20" t="str">
        <f t="shared" si="126"/>
        <v/>
      </c>
      <c r="Y260" s="20" t="str">
        <f t="shared" si="126"/>
        <v/>
      </c>
      <c r="Z260" s="20" t="str">
        <f t="shared" si="126"/>
        <v/>
      </c>
      <c r="AA260" s="20" t="str">
        <f t="shared" si="126"/>
        <v/>
      </c>
      <c r="AB260" s="20" t="str">
        <f t="shared" si="126"/>
        <v/>
      </c>
      <c r="AC260" s="20" t="str">
        <f t="shared" si="126"/>
        <v/>
      </c>
      <c r="AD260" s="20" t="str">
        <f t="shared" si="126"/>
        <v/>
      </c>
      <c r="AE260" s="20" t="str">
        <f t="shared" si="126"/>
        <v/>
      </c>
      <c r="AF260" s="20" t="str">
        <f t="shared" si="126"/>
        <v/>
      </c>
      <c r="AG260" s="20" t="str">
        <f t="shared" si="126"/>
        <v/>
      </c>
      <c r="AH260" s="20" t="str">
        <f t="shared" si="126"/>
        <v/>
      </c>
      <c r="AI260" s="20" t="str">
        <f t="shared" si="126"/>
        <v/>
      </c>
      <c r="AJ260" s="20" t="str">
        <f t="shared" si="126"/>
        <v/>
      </c>
      <c r="AK260" s="20" t="str">
        <f t="shared" si="126"/>
        <v/>
      </c>
      <c r="AL260" s="20" t="str">
        <f t="shared" si="126"/>
        <v/>
      </c>
      <c r="AM260" s="20" t="str">
        <f t="shared" si="126"/>
        <v/>
      </c>
      <c r="AN260" s="20" t="str">
        <f t="shared" si="126"/>
        <v/>
      </c>
      <c r="AO260" s="20" t="str">
        <f t="shared" si="126"/>
        <v/>
      </c>
      <c r="AP260" s="20" t="str">
        <f t="shared" si="126"/>
        <v/>
      </c>
      <c r="AQ260" s="20" t="str">
        <f t="shared" si="126"/>
        <v/>
      </c>
      <c r="AR260" s="20" t="str">
        <f t="shared" si="126"/>
        <v/>
      </c>
      <c r="AS260" s="20" t="str">
        <f t="shared" si="126"/>
        <v/>
      </c>
      <c r="AT260" s="20" t="str">
        <f t="shared" si="126"/>
        <v/>
      </c>
      <c r="AU260" s="20" t="str">
        <f t="shared" si="126"/>
        <v/>
      </c>
      <c r="AV260" s="20" t="str">
        <f t="shared" si="126"/>
        <v/>
      </c>
      <c r="AW260" s="20" t="str">
        <f t="shared" si="126"/>
        <v/>
      </c>
      <c r="AX260" s="20" t="str">
        <f t="shared" si="126"/>
        <v/>
      </c>
    </row>
    <row r="261" ht="39.75" customHeight="1">
      <c r="A261" s="13" t="str">
        <f>'Настройки'!B15</f>
        <v>Планировщик покупок</v>
      </c>
      <c r="B261" s="19" t="str">
        <f>IF(COUNT('Эксперт 3'!B51)=0,"",'Эксперт 3'!B51)</f>
        <v/>
      </c>
      <c r="C261" s="19">
        <f>IF(COUNT('Эксперт 3'!C51)=0,"",'Эксперт 3'!C51)</f>
        <v>1</v>
      </c>
      <c r="D261" s="19" t="str">
        <f>IF(COUNT('Эксперт 3'!D51)=0,"",'Эксперт 3'!D51)</f>
        <v/>
      </c>
      <c r="E261" s="19" t="str">
        <f>IF(COUNT('Эксперт 3'!E51)=0,"",'Эксперт 3'!E51)</f>
        <v/>
      </c>
      <c r="F261" s="19" t="str">
        <f t="shared" si="127"/>
        <v/>
      </c>
      <c r="G261" s="19" t="str">
        <f t="shared" si="128"/>
        <v/>
      </c>
      <c r="H261" s="20"/>
      <c r="I261" s="20"/>
      <c r="J261" s="20" t="str">
        <f t="shared" si="129"/>
        <v/>
      </c>
      <c r="K261" s="20" t="str">
        <f t="shared" ref="K261:AX261" si="130">IF(J261="","",($B261*J$260+$C261*J$261+$D261*J$262+$E261*J$263)/SUM(J$260:J$263))</f>
        <v/>
      </c>
      <c r="L261" s="20" t="str">
        <f t="shared" si="130"/>
        <v/>
      </c>
      <c r="M261" s="20" t="str">
        <f t="shared" si="130"/>
        <v/>
      </c>
      <c r="N261" s="20" t="str">
        <f t="shared" si="130"/>
        <v/>
      </c>
      <c r="O261" s="20" t="str">
        <f t="shared" si="130"/>
        <v/>
      </c>
      <c r="P261" s="20" t="str">
        <f t="shared" si="130"/>
        <v/>
      </c>
      <c r="Q261" s="20" t="str">
        <f t="shared" si="130"/>
        <v/>
      </c>
      <c r="R261" s="20" t="str">
        <f t="shared" si="130"/>
        <v/>
      </c>
      <c r="S261" s="20" t="str">
        <f t="shared" si="130"/>
        <v/>
      </c>
      <c r="T261" s="20" t="str">
        <f t="shared" si="130"/>
        <v/>
      </c>
      <c r="U261" s="20" t="str">
        <f t="shared" si="130"/>
        <v/>
      </c>
      <c r="V261" s="20" t="str">
        <f t="shared" si="130"/>
        <v/>
      </c>
      <c r="W261" s="20" t="str">
        <f t="shared" si="130"/>
        <v/>
      </c>
      <c r="X261" s="20" t="str">
        <f t="shared" si="130"/>
        <v/>
      </c>
      <c r="Y261" s="20" t="str">
        <f t="shared" si="130"/>
        <v/>
      </c>
      <c r="Z261" s="20" t="str">
        <f t="shared" si="130"/>
        <v/>
      </c>
      <c r="AA261" s="20" t="str">
        <f t="shared" si="130"/>
        <v/>
      </c>
      <c r="AB261" s="20" t="str">
        <f t="shared" si="130"/>
        <v/>
      </c>
      <c r="AC261" s="20" t="str">
        <f t="shared" si="130"/>
        <v/>
      </c>
      <c r="AD261" s="20" t="str">
        <f t="shared" si="130"/>
        <v/>
      </c>
      <c r="AE261" s="20" t="str">
        <f t="shared" si="130"/>
        <v/>
      </c>
      <c r="AF261" s="20" t="str">
        <f t="shared" si="130"/>
        <v/>
      </c>
      <c r="AG261" s="20" t="str">
        <f t="shared" si="130"/>
        <v/>
      </c>
      <c r="AH261" s="20" t="str">
        <f t="shared" si="130"/>
        <v/>
      </c>
      <c r="AI261" s="20" t="str">
        <f t="shared" si="130"/>
        <v/>
      </c>
      <c r="AJ261" s="20" t="str">
        <f t="shared" si="130"/>
        <v/>
      </c>
      <c r="AK261" s="20" t="str">
        <f t="shared" si="130"/>
        <v/>
      </c>
      <c r="AL261" s="20" t="str">
        <f t="shared" si="130"/>
        <v/>
      </c>
      <c r="AM261" s="20" t="str">
        <f t="shared" si="130"/>
        <v/>
      </c>
      <c r="AN261" s="20" t="str">
        <f t="shared" si="130"/>
        <v/>
      </c>
      <c r="AO261" s="20" t="str">
        <f t="shared" si="130"/>
        <v/>
      </c>
      <c r="AP261" s="20" t="str">
        <f t="shared" si="130"/>
        <v/>
      </c>
      <c r="AQ261" s="20" t="str">
        <f t="shared" si="130"/>
        <v/>
      </c>
      <c r="AR261" s="20" t="str">
        <f t="shared" si="130"/>
        <v/>
      </c>
      <c r="AS261" s="20" t="str">
        <f t="shared" si="130"/>
        <v/>
      </c>
      <c r="AT261" s="20" t="str">
        <f t="shared" si="130"/>
        <v/>
      </c>
      <c r="AU261" s="20" t="str">
        <f t="shared" si="130"/>
        <v/>
      </c>
      <c r="AV261" s="20" t="str">
        <f t="shared" si="130"/>
        <v/>
      </c>
      <c r="AW261" s="20" t="str">
        <f t="shared" si="130"/>
        <v/>
      </c>
      <c r="AX261" s="20" t="str">
        <f t="shared" si="130"/>
        <v/>
      </c>
    </row>
    <row r="262" ht="39.75" customHeight="1">
      <c r="A262" s="13" t="str">
        <f>'Настройки'!B16</f>
        <v>Концепция 3</v>
      </c>
      <c r="B262" s="19" t="str">
        <f>IF(COUNT('Эксперт 3'!B52)=0,"",'Эксперт 3'!B52)</f>
        <v/>
      </c>
      <c r="C262" s="19" t="str">
        <f>IF(COUNT('Эксперт 3'!C52)=0,"",'Эксперт 3'!C52)</f>
        <v/>
      </c>
      <c r="D262" s="19">
        <f>IF(COUNT('Эксперт 3'!D52)=0,"",'Эксперт 3'!D52)</f>
        <v>1</v>
      </c>
      <c r="E262" s="19" t="str">
        <f>IF(COUNT('Эксперт 3'!E52)=0,"",'Эксперт 3'!E52)</f>
        <v/>
      </c>
      <c r="F262" s="19" t="str">
        <f t="shared" si="127"/>
        <v/>
      </c>
      <c r="G262" s="19" t="str">
        <f t="shared" si="128"/>
        <v/>
      </c>
      <c r="H262" s="20"/>
      <c r="I262" s="20"/>
      <c r="J262" s="20" t="str">
        <f t="shared" si="129"/>
        <v/>
      </c>
      <c r="K262" s="20" t="str">
        <f t="shared" ref="K262:AX262" si="131">IF(J262="","",($B262*J$260+$C262*J$261+$D262*J$262+$E262*J$263)/SUM(J$260:J$263))</f>
        <v/>
      </c>
      <c r="L262" s="20" t="str">
        <f t="shared" si="131"/>
        <v/>
      </c>
      <c r="M262" s="20" t="str">
        <f t="shared" si="131"/>
        <v/>
      </c>
      <c r="N262" s="20" t="str">
        <f t="shared" si="131"/>
        <v/>
      </c>
      <c r="O262" s="20" t="str">
        <f t="shared" si="131"/>
        <v/>
      </c>
      <c r="P262" s="20" t="str">
        <f t="shared" si="131"/>
        <v/>
      </c>
      <c r="Q262" s="20" t="str">
        <f t="shared" si="131"/>
        <v/>
      </c>
      <c r="R262" s="20" t="str">
        <f t="shared" si="131"/>
        <v/>
      </c>
      <c r="S262" s="20" t="str">
        <f t="shared" si="131"/>
        <v/>
      </c>
      <c r="T262" s="20" t="str">
        <f t="shared" si="131"/>
        <v/>
      </c>
      <c r="U262" s="20" t="str">
        <f t="shared" si="131"/>
        <v/>
      </c>
      <c r="V262" s="20" t="str">
        <f t="shared" si="131"/>
        <v/>
      </c>
      <c r="W262" s="20" t="str">
        <f t="shared" si="131"/>
        <v/>
      </c>
      <c r="X262" s="20" t="str">
        <f t="shared" si="131"/>
        <v/>
      </c>
      <c r="Y262" s="20" t="str">
        <f t="shared" si="131"/>
        <v/>
      </c>
      <c r="Z262" s="20" t="str">
        <f t="shared" si="131"/>
        <v/>
      </c>
      <c r="AA262" s="20" t="str">
        <f t="shared" si="131"/>
        <v/>
      </c>
      <c r="AB262" s="20" t="str">
        <f t="shared" si="131"/>
        <v/>
      </c>
      <c r="AC262" s="20" t="str">
        <f t="shared" si="131"/>
        <v/>
      </c>
      <c r="AD262" s="20" t="str">
        <f t="shared" si="131"/>
        <v/>
      </c>
      <c r="AE262" s="20" t="str">
        <f t="shared" si="131"/>
        <v/>
      </c>
      <c r="AF262" s="20" t="str">
        <f t="shared" si="131"/>
        <v/>
      </c>
      <c r="AG262" s="20" t="str">
        <f t="shared" si="131"/>
        <v/>
      </c>
      <c r="AH262" s="20" t="str">
        <f t="shared" si="131"/>
        <v/>
      </c>
      <c r="AI262" s="20" t="str">
        <f t="shared" si="131"/>
        <v/>
      </c>
      <c r="AJ262" s="20" t="str">
        <f t="shared" si="131"/>
        <v/>
      </c>
      <c r="AK262" s="20" t="str">
        <f t="shared" si="131"/>
        <v/>
      </c>
      <c r="AL262" s="20" t="str">
        <f t="shared" si="131"/>
        <v/>
      </c>
      <c r="AM262" s="20" t="str">
        <f t="shared" si="131"/>
        <v/>
      </c>
      <c r="AN262" s="20" t="str">
        <f t="shared" si="131"/>
        <v/>
      </c>
      <c r="AO262" s="20" t="str">
        <f t="shared" si="131"/>
        <v/>
      </c>
      <c r="AP262" s="20" t="str">
        <f t="shared" si="131"/>
        <v/>
      </c>
      <c r="AQ262" s="20" t="str">
        <f t="shared" si="131"/>
        <v/>
      </c>
      <c r="AR262" s="20" t="str">
        <f t="shared" si="131"/>
        <v/>
      </c>
      <c r="AS262" s="20" t="str">
        <f t="shared" si="131"/>
        <v/>
      </c>
      <c r="AT262" s="20" t="str">
        <f t="shared" si="131"/>
        <v/>
      </c>
      <c r="AU262" s="20" t="str">
        <f t="shared" si="131"/>
        <v/>
      </c>
      <c r="AV262" s="20" t="str">
        <f t="shared" si="131"/>
        <v/>
      </c>
      <c r="AW262" s="20" t="str">
        <f t="shared" si="131"/>
        <v/>
      </c>
      <c r="AX262" s="20" t="str">
        <f t="shared" si="131"/>
        <v/>
      </c>
    </row>
    <row r="263" ht="39.75" customHeight="1">
      <c r="A263" s="13" t="str">
        <f>'Настройки'!B17</f>
        <v>Концепция 4</v>
      </c>
      <c r="B263" s="19" t="str">
        <f>IF(COUNT('Эксперт 3'!B53)=0,"",'Эксперт 3'!B53)</f>
        <v/>
      </c>
      <c r="C263" s="19" t="str">
        <f>IF(COUNT('Эксперт 3'!C53)=0,"",'Эксперт 3'!C53)</f>
        <v/>
      </c>
      <c r="D263" s="19" t="str">
        <f>IF(COUNT('Эксперт 3'!D53)=0,"",'Эксперт 3'!D53)</f>
        <v/>
      </c>
      <c r="E263" s="19">
        <f>IF(COUNT('Эксперт 3'!E53)=0,"",'Эксперт 3'!E53)</f>
        <v>1</v>
      </c>
      <c r="F263" s="19" t="str">
        <f t="shared" si="127"/>
        <v/>
      </c>
      <c r="G263" s="19" t="str">
        <f t="shared" si="128"/>
        <v/>
      </c>
      <c r="H263" s="20"/>
      <c r="I263" s="20"/>
      <c r="J263" s="20" t="str">
        <f t="shared" si="129"/>
        <v/>
      </c>
      <c r="K263" s="20" t="str">
        <f t="shared" ref="K263:AX263" si="132">IF(J263="","",($B263*J$260+$C263*J$261+$D263*J$262+$E263*J$263)/SUM(J$260:J$263))</f>
        <v/>
      </c>
      <c r="L263" s="20" t="str">
        <f t="shared" si="132"/>
        <v/>
      </c>
      <c r="M263" s="20" t="str">
        <f t="shared" si="132"/>
        <v/>
      </c>
      <c r="N263" s="20" t="str">
        <f t="shared" si="132"/>
        <v/>
      </c>
      <c r="O263" s="20" t="str">
        <f t="shared" si="132"/>
        <v/>
      </c>
      <c r="P263" s="20" t="str">
        <f t="shared" si="132"/>
        <v/>
      </c>
      <c r="Q263" s="20" t="str">
        <f t="shared" si="132"/>
        <v/>
      </c>
      <c r="R263" s="20" t="str">
        <f t="shared" si="132"/>
        <v/>
      </c>
      <c r="S263" s="20" t="str">
        <f t="shared" si="132"/>
        <v/>
      </c>
      <c r="T263" s="20" t="str">
        <f t="shared" si="132"/>
        <v/>
      </c>
      <c r="U263" s="20" t="str">
        <f t="shared" si="132"/>
        <v/>
      </c>
      <c r="V263" s="20" t="str">
        <f t="shared" si="132"/>
        <v/>
      </c>
      <c r="W263" s="20" t="str">
        <f t="shared" si="132"/>
        <v/>
      </c>
      <c r="X263" s="20" t="str">
        <f t="shared" si="132"/>
        <v/>
      </c>
      <c r="Y263" s="20" t="str">
        <f t="shared" si="132"/>
        <v/>
      </c>
      <c r="Z263" s="20" t="str">
        <f t="shared" si="132"/>
        <v/>
      </c>
      <c r="AA263" s="20" t="str">
        <f t="shared" si="132"/>
        <v/>
      </c>
      <c r="AB263" s="20" t="str">
        <f t="shared" si="132"/>
        <v/>
      </c>
      <c r="AC263" s="20" t="str">
        <f t="shared" si="132"/>
        <v/>
      </c>
      <c r="AD263" s="20" t="str">
        <f t="shared" si="132"/>
        <v/>
      </c>
      <c r="AE263" s="20" t="str">
        <f t="shared" si="132"/>
        <v/>
      </c>
      <c r="AF263" s="20" t="str">
        <f t="shared" si="132"/>
        <v/>
      </c>
      <c r="AG263" s="20" t="str">
        <f t="shared" si="132"/>
        <v/>
      </c>
      <c r="AH263" s="20" t="str">
        <f t="shared" si="132"/>
        <v/>
      </c>
      <c r="AI263" s="20" t="str">
        <f t="shared" si="132"/>
        <v/>
      </c>
      <c r="AJ263" s="20" t="str">
        <f t="shared" si="132"/>
        <v/>
      </c>
      <c r="AK263" s="20" t="str">
        <f t="shared" si="132"/>
        <v/>
      </c>
      <c r="AL263" s="20" t="str">
        <f t="shared" si="132"/>
        <v/>
      </c>
      <c r="AM263" s="20" t="str">
        <f t="shared" si="132"/>
        <v/>
      </c>
      <c r="AN263" s="20" t="str">
        <f t="shared" si="132"/>
        <v/>
      </c>
      <c r="AO263" s="20" t="str">
        <f t="shared" si="132"/>
        <v/>
      </c>
      <c r="AP263" s="20" t="str">
        <f t="shared" si="132"/>
        <v/>
      </c>
      <c r="AQ263" s="20" t="str">
        <f t="shared" si="132"/>
        <v/>
      </c>
      <c r="AR263" s="20" t="str">
        <f t="shared" si="132"/>
        <v/>
      </c>
      <c r="AS263" s="20" t="str">
        <f t="shared" si="132"/>
        <v/>
      </c>
      <c r="AT263" s="20" t="str">
        <f t="shared" si="132"/>
        <v/>
      </c>
      <c r="AU263" s="20" t="str">
        <f t="shared" si="132"/>
        <v/>
      </c>
      <c r="AV263" s="20" t="str">
        <f t="shared" si="132"/>
        <v/>
      </c>
      <c r="AW263" s="20" t="str">
        <f t="shared" si="132"/>
        <v/>
      </c>
      <c r="AX263" s="20" t="str">
        <f t="shared" si="132"/>
        <v/>
      </c>
    </row>
    <row r="264" ht="22.5" customHeight="1">
      <c r="A264" s="1"/>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row>
    <row r="265" ht="22.5" customHeight="1">
      <c r="A265" s="1" t="s">
        <v>281</v>
      </c>
      <c r="B265" s="20" t="s">
        <v>282</v>
      </c>
      <c r="C265" s="20" t="s">
        <v>283</v>
      </c>
      <c r="D265" s="20" t="s">
        <v>284</v>
      </c>
      <c r="E265" s="20" t="s">
        <v>285</v>
      </c>
      <c r="F265" s="20" t="s">
        <v>286</v>
      </c>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row>
    <row r="266" ht="22.5" customHeight="1">
      <c r="A266" s="1"/>
      <c r="B266" s="20" t="str">
        <f>IF(COUNT(C266)=0,"",C266/'Настройки'!$B$32)</f>
        <v/>
      </c>
      <c r="C266" s="20" t="str">
        <f>IF(D266="","",MAX(0,(D266-4)/3))</f>
        <v/>
      </c>
      <c r="D266" s="20" t="str">
        <f>IF(COUNT(G260:G263)&lt;4,"",AVERAGE(G260:G263))</f>
        <v/>
      </c>
      <c r="E266" s="20" t="str">
        <f>IF(D266="","",SUM(F260:F263))</f>
        <v/>
      </c>
      <c r="F266" s="20" t="str">
        <f>IF(D266="","",MAX(ABS((G260-$D$266)*F260),ABS((G261-$D$266)*F261),ABS((G262-$D$266)*F262),ABS((G263-$D$266)*F263)))</f>
        <v/>
      </c>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row>
    <row r="267" ht="22.5" customHeight="1">
      <c r="A267" s="1"/>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row>
    <row r="268" ht="22.5" customHeight="1">
      <c r="A268" s="1" t="str">
        <f>IF(COUNT(B266)=0,"Нет оценок",IF(F266&gt;0.00000001,"Недостаточная сходимость",IF(B266&lt;='Настройки'!$B$31,"Согласовано","Пересмотреть сравнения")))</f>
        <v>Нет оценок</v>
      </c>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row>
    <row r="269" ht="22.5" customHeight="1">
      <c r="A269" s="1"/>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row>
    <row r="270" ht="22.5" customHeight="1">
      <c r="A270" s="1"/>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row>
    <row r="271" ht="22.5" customHeight="1">
      <c r="A271" s="1"/>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row>
    <row r="272" ht="22.5" customHeight="1">
      <c r="A272" s="1" t="s">
        <v>311</v>
      </c>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row>
    <row r="273" ht="54.0" customHeight="1">
      <c r="A273" s="3" t="s">
        <v>279</v>
      </c>
      <c r="B273" s="21" t="str">
        <f>'Настройки'!B14</f>
        <v>Детейлинг-центр</v>
      </c>
      <c r="C273" s="21" t="str">
        <f>'Настройки'!B15</f>
        <v>Планировщик покупок</v>
      </c>
      <c r="D273" s="21" t="str">
        <f>'Настройки'!B16</f>
        <v>Концепция 3</v>
      </c>
      <c r="E273" s="21" t="str">
        <f>'Настройки'!B17</f>
        <v>Концепция 4</v>
      </c>
      <c r="F273" s="21" t="s">
        <v>274</v>
      </c>
      <c r="G273" s="21" t="s">
        <v>280</v>
      </c>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row>
    <row r="274" ht="39.75" customHeight="1">
      <c r="A274" s="13" t="str">
        <f>'Настройки'!B14</f>
        <v>Детейлинг-центр</v>
      </c>
      <c r="B274" s="19">
        <f>IF(COUNT('Эксперт 3'!B62)=0,"",'Эксперт 3'!B62)</f>
        <v>1</v>
      </c>
      <c r="C274" s="19" t="str">
        <f>IF(COUNT('Эксперт 3'!C62)=0,"",'Эксперт 3'!C62)</f>
        <v/>
      </c>
      <c r="D274" s="19" t="str">
        <f>IF(COUNT('Эксперт 3'!D62)=0,"",'Эксперт 3'!D62)</f>
        <v/>
      </c>
      <c r="E274" s="19" t="str">
        <f>IF(COUNT('Эксперт 3'!E62)=0,"",'Эксперт 3'!E62)</f>
        <v/>
      </c>
      <c r="F274" s="19" t="str">
        <f t="shared" ref="F274:F277" si="134">IF(AX274="","",AX274/SUM(AX$274:AX$277))</f>
        <v/>
      </c>
      <c r="G274" s="19" t="str">
        <f t="shared" ref="G274:G277" si="135">IF(F274="","",(B274*$F$274+C274*$F$275+D274*$F$276+E274*$F$277)/F274)</f>
        <v/>
      </c>
      <c r="H274" s="20"/>
      <c r="I274" s="20"/>
      <c r="J274" s="20" t="str">
        <f t="shared" ref="J274:J277" si="136">IF(COUNT($B$274:$E$277)&lt;16,"",1/4)</f>
        <v/>
      </c>
      <c r="K274" s="20" t="str">
        <f t="shared" ref="K274:AX274" si="133">IF(J274="","",($B274*J$274+$C274*J$275+$D274*J$276+$E274*J$277)/SUM(J$274:J$277))</f>
        <v/>
      </c>
      <c r="L274" s="20" t="str">
        <f t="shared" si="133"/>
        <v/>
      </c>
      <c r="M274" s="20" t="str">
        <f t="shared" si="133"/>
        <v/>
      </c>
      <c r="N274" s="20" t="str">
        <f t="shared" si="133"/>
        <v/>
      </c>
      <c r="O274" s="20" t="str">
        <f t="shared" si="133"/>
        <v/>
      </c>
      <c r="P274" s="20" t="str">
        <f t="shared" si="133"/>
        <v/>
      </c>
      <c r="Q274" s="20" t="str">
        <f t="shared" si="133"/>
        <v/>
      </c>
      <c r="R274" s="20" t="str">
        <f t="shared" si="133"/>
        <v/>
      </c>
      <c r="S274" s="20" t="str">
        <f t="shared" si="133"/>
        <v/>
      </c>
      <c r="T274" s="20" t="str">
        <f t="shared" si="133"/>
        <v/>
      </c>
      <c r="U274" s="20" t="str">
        <f t="shared" si="133"/>
        <v/>
      </c>
      <c r="V274" s="20" t="str">
        <f t="shared" si="133"/>
        <v/>
      </c>
      <c r="W274" s="20" t="str">
        <f t="shared" si="133"/>
        <v/>
      </c>
      <c r="X274" s="20" t="str">
        <f t="shared" si="133"/>
        <v/>
      </c>
      <c r="Y274" s="20" t="str">
        <f t="shared" si="133"/>
        <v/>
      </c>
      <c r="Z274" s="20" t="str">
        <f t="shared" si="133"/>
        <v/>
      </c>
      <c r="AA274" s="20" t="str">
        <f t="shared" si="133"/>
        <v/>
      </c>
      <c r="AB274" s="20" t="str">
        <f t="shared" si="133"/>
        <v/>
      </c>
      <c r="AC274" s="20" t="str">
        <f t="shared" si="133"/>
        <v/>
      </c>
      <c r="AD274" s="20" t="str">
        <f t="shared" si="133"/>
        <v/>
      </c>
      <c r="AE274" s="20" t="str">
        <f t="shared" si="133"/>
        <v/>
      </c>
      <c r="AF274" s="20" t="str">
        <f t="shared" si="133"/>
        <v/>
      </c>
      <c r="AG274" s="20" t="str">
        <f t="shared" si="133"/>
        <v/>
      </c>
      <c r="AH274" s="20" t="str">
        <f t="shared" si="133"/>
        <v/>
      </c>
      <c r="AI274" s="20" t="str">
        <f t="shared" si="133"/>
        <v/>
      </c>
      <c r="AJ274" s="20" t="str">
        <f t="shared" si="133"/>
        <v/>
      </c>
      <c r="AK274" s="20" t="str">
        <f t="shared" si="133"/>
        <v/>
      </c>
      <c r="AL274" s="20" t="str">
        <f t="shared" si="133"/>
        <v/>
      </c>
      <c r="AM274" s="20" t="str">
        <f t="shared" si="133"/>
        <v/>
      </c>
      <c r="AN274" s="20" t="str">
        <f t="shared" si="133"/>
        <v/>
      </c>
      <c r="AO274" s="20" t="str">
        <f t="shared" si="133"/>
        <v/>
      </c>
      <c r="AP274" s="20" t="str">
        <f t="shared" si="133"/>
        <v/>
      </c>
      <c r="AQ274" s="20" t="str">
        <f t="shared" si="133"/>
        <v/>
      </c>
      <c r="AR274" s="20" t="str">
        <f t="shared" si="133"/>
        <v/>
      </c>
      <c r="AS274" s="20" t="str">
        <f t="shared" si="133"/>
        <v/>
      </c>
      <c r="AT274" s="20" t="str">
        <f t="shared" si="133"/>
        <v/>
      </c>
      <c r="AU274" s="20" t="str">
        <f t="shared" si="133"/>
        <v/>
      </c>
      <c r="AV274" s="20" t="str">
        <f t="shared" si="133"/>
        <v/>
      </c>
      <c r="AW274" s="20" t="str">
        <f t="shared" si="133"/>
        <v/>
      </c>
      <c r="AX274" s="20" t="str">
        <f t="shared" si="133"/>
        <v/>
      </c>
    </row>
    <row r="275" ht="39.75" customHeight="1">
      <c r="A275" s="13" t="str">
        <f>'Настройки'!B15</f>
        <v>Планировщик покупок</v>
      </c>
      <c r="B275" s="19" t="str">
        <f>IF(COUNT('Эксперт 3'!B63)=0,"",'Эксперт 3'!B63)</f>
        <v/>
      </c>
      <c r="C275" s="19">
        <f>IF(COUNT('Эксперт 3'!C63)=0,"",'Эксперт 3'!C63)</f>
        <v>1</v>
      </c>
      <c r="D275" s="19" t="str">
        <f>IF(COUNT('Эксперт 3'!D63)=0,"",'Эксперт 3'!D63)</f>
        <v/>
      </c>
      <c r="E275" s="19" t="str">
        <f>IF(COUNT('Эксперт 3'!E63)=0,"",'Эксперт 3'!E63)</f>
        <v/>
      </c>
      <c r="F275" s="19" t="str">
        <f t="shared" si="134"/>
        <v/>
      </c>
      <c r="G275" s="19" t="str">
        <f t="shared" si="135"/>
        <v/>
      </c>
      <c r="H275" s="20"/>
      <c r="I275" s="20"/>
      <c r="J275" s="20" t="str">
        <f t="shared" si="136"/>
        <v/>
      </c>
      <c r="K275" s="20" t="str">
        <f t="shared" ref="K275:AX275" si="137">IF(J275="","",($B275*J$274+$C275*J$275+$D275*J$276+$E275*J$277)/SUM(J$274:J$277))</f>
        <v/>
      </c>
      <c r="L275" s="20" t="str">
        <f t="shared" si="137"/>
        <v/>
      </c>
      <c r="M275" s="20" t="str">
        <f t="shared" si="137"/>
        <v/>
      </c>
      <c r="N275" s="20" t="str">
        <f t="shared" si="137"/>
        <v/>
      </c>
      <c r="O275" s="20" t="str">
        <f t="shared" si="137"/>
        <v/>
      </c>
      <c r="P275" s="20" t="str">
        <f t="shared" si="137"/>
        <v/>
      </c>
      <c r="Q275" s="20" t="str">
        <f t="shared" si="137"/>
        <v/>
      </c>
      <c r="R275" s="20" t="str">
        <f t="shared" si="137"/>
        <v/>
      </c>
      <c r="S275" s="20" t="str">
        <f t="shared" si="137"/>
        <v/>
      </c>
      <c r="T275" s="20" t="str">
        <f t="shared" si="137"/>
        <v/>
      </c>
      <c r="U275" s="20" t="str">
        <f t="shared" si="137"/>
        <v/>
      </c>
      <c r="V275" s="20" t="str">
        <f t="shared" si="137"/>
        <v/>
      </c>
      <c r="W275" s="20" t="str">
        <f t="shared" si="137"/>
        <v/>
      </c>
      <c r="X275" s="20" t="str">
        <f t="shared" si="137"/>
        <v/>
      </c>
      <c r="Y275" s="20" t="str">
        <f t="shared" si="137"/>
        <v/>
      </c>
      <c r="Z275" s="20" t="str">
        <f t="shared" si="137"/>
        <v/>
      </c>
      <c r="AA275" s="20" t="str">
        <f t="shared" si="137"/>
        <v/>
      </c>
      <c r="AB275" s="20" t="str">
        <f t="shared" si="137"/>
        <v/>
      </c>
      <c r="AC275" s="20" t="str">
        <f t="shared" si="137"/>
        <v/>
      </c>
      <c r="AD275" s="20" t="str">
        <f t="shared" si="137"/>
        <v/>
      </c>
      <c r="AE275" s="20" t="str">
        <f t="shared" si="137"/>
        <v/>
      </c>
      <c r="AF275" s="20" t="str">
        <f t="shared" si="137"/>
        <v/>
      </c>
      <c r="AG275" s="20" t="str">
        <f t="shared" si="137"/>
        <v/>
      </c>
      <c r="AH275" s="20" t="str">
        <f t="shared" si="137"/>
        <v/>
      </c>
      <c r="AI275" s="20" t="str">
        <f t="shared" si="137"/>
        <v/>
      </c>
      <c r="AJ275" s="20" t="str">
        <f t="shared" si="137"/>
        <v/>
      </c>
      <c r="AK275" s="20" t="str">
        <f t="shared" si="137"/>
        <v/>
      </c>
      <c r="AL275" s="20" t="str">
        <f t="shared" si="137"/>
        <v/>
      </c>
      <c r="AM275" s="20" t="str">
        <f t="shared" si="137"/>
        <v/>
      </c>
      <c r="AN275" s="20" t="str">
        <f t="shared" si="137"/>
        <v/>
      </c>
      <c r="AO275" s="20" t="str">
        <f t="shared" si="137"/>
        <v/>
      </c>
      <c r="AP275" s="20" t="str">
        <f t="shared" si="137"/>
        <v/>
      </c>
      <c r="AQ275" s="20" t="str">
        <f t="shared" si="137"/>
        <v/>
      </c>
      <c r="AR275" s="20" t="str">
        <f t="shared" si="137"/>
        <v/>
      </c>
      <c r="AS275" s="20" t="str">
        <f t="shared" si="137"/>
        <v/>
      </c>
      <c r="AT275" s="20" t="str">
        <f t="shared" si="137"/>
        <v/>
      </c>
      <c r="AU275" s="20" t="str">
        <f t="shared" si="137"/>
        <v/>
      </c>
      <c r="AV275" s="20" t="str">
        <f t="shared" si="137"/>
        <v/>
      </c>
      <c r="AW275" s="20" t="str">
        <f t="shared" si="137"/>
        <v/>
      </c>
      <c r="AX275" s="20" t="str">
        <f t="shared" si="137"/>
        <v/>
      </c>
    </row>
    <row r="276" ht="39.75" customHeight="1">
      <c r="A276" s="13" t="str">
        <f>'Настройки'!B16</f>
        <v>Концепция 3</v>
      </c>
      <c r="B276" s="19" t="str">
        <f>IF(COUNT('Эксперт 3'!B64)=0,"",'Эксперт 3'!B64)</f>
        <v/>
      </c>
      <c r="C276" s="19" t="str">
        <f>IF(COUNT('Эксперт 3'!C64)=0,"",'Эксперт 3'!C64)</f>
        <v/>
      </c>
      <c r="D276" s="19">
        <f>IF(COUNT('Эксперт 3'!D64)=0,"",'Эксперт 3'!D64)</f>
        <v>1</v>
      </c>
      <c r="E276" s="19" t="str">
        <f>IF(COUNT('Эксперт 3'!E64)=0,"",'Эксперт 3'!E64)</f>
        <v/>
      </c>
      <c r="F276" s="19" t="str">
        <f t="shared" si="134"/>
        <v/>
      </c>
      <c r="G276" s="19" t="str">
        <f t="shared" si="135"/>
        <v/>
      </c>
      <c r="H276" s="20"/>
      <c r="I276" s="20"/>
      <c r="J276" s="20" t="str">
        <f t="shared" si="136"/>
        <v/>
      </c>
      <c r="K276" s="20" t="str">
        <f t="shared" ref="K276:AX276" si="138">IF(J276="","",($B276*J$274+$C276*J$275+$D276*J$276+$E276*J$277)/SUM(J$274:J$277))</f>
        <v/>
      </c>
      <c r="L276" s="20" t="str">
        <f t="shared" si="138"/>
        <v/>
      </c>
      <c r="M276" s="20" t="str">
        <f t="shared" si="138"/>
        <v/>
      </c>
      <c r="N276" s="20" t="str">
        <f t="shared" si="138"/>
        <v/>
      </c>
      <c r="O276" s="20" t="str">
        <f t="shared" si="138"/>
        <v/>
      </c>
      <c r="P276" s="20" t="str">
        <f t="shared" si="138"/>
        <v/>
      </c>
      <c r="Q276" s="20" t="str">
        <f t="shared" si="138"/>
        <v/>
      </c>
      <c r="R276" s="20" t="str">
        <f t="shared" si="138"/>
        <v/>
      </c>
      <c r="S276" s="20" t="str">
        <f t="shared" si="138"/>
        <v/>
      </c>
      <c r="T276" s="20" t="str">
        <f t="shared" si="138"/>
        <v/>
      </c>
      <c r="U276" s="20" t="str">
        <f t="shared" si="138"/>
        <v/>
      </c>
      <c r="V276" s="20" t="str">
        <f t="shared" si="138"/>
        <v/>
      </c>
      <c r="W276" s="20" t="str">
        <f t="shared" si="138"/>
        <v/>
      </c>
      <c r="X276" s="20" t="str">
        <f t="shared" si="138"/>
        <v/>
      </c>
      <c r="Y276" s="20" t="str">
        <f t="shared" si="138"/>
        <v/>
      </c>
      <c r="Z276" s="20" t="str">
        <f t="shared" si="138"/>
        <v/>
      </c>
      <c r="AA276" s="20" t="str">
        <f t="shared" si="138"/>
        <v/>
      </c>
      <c r="AB276" s="20" t="str">
        <f t="shared" si="138"/>
        <v/>
      </c>
      <c r="AC276" s="20" t="str">
        <f t="shared" si="138"/>
        <v/>
      </c>
      <c r="AD276" s="20" t="str">
        <f t="shared" si="138"/>
        <v/>
      </c>
      <c r="AE276" s="20" t="str">
        <f t="shared" si="138"/>
        <v/>
      </c>
      <c r="AF276" s="20" t="str">
        <f t="shared" si="138"/>
        <v/>
      </c>
      <c r="AG276" s="20" t="str">
        <f t="shared" si="138"/>
        <v/>
      </c>
      <c r="AH276" s="20" t="str">
        <f t="shared" si="138"/>
        <v/>
      </c>
      <c r="AI276" s="20" t="str">
        <f t="shared" si="138"/>
        <v/>
      </c>
      <c r="AJ276" s="20" t="str">
        <f t="shared" si="138"/>
        <v/>
      </c>
      <c r="AK276" s="20" t="str">
        <f t="shared" si="138"/>
        <v/>
      </c>
      <c r="AL276" s="20" t="str">
        <f t="shared" si="138"/>
        <v/>
      </c>
      <c r="AM276" s="20" t="str">
        <f t="shared" si="138"/>
        <v/>
      </c>
      <c r="AN276" s="20" t="str">
        <f t="shared" si="138"/>
        <v/>
      </c>
      <c r="AO276" s="20" t="str">
        <f t="shared" si="138"/>
        <v/>
      </c>
      <c r="AP276" s="20" t="str">
        <f t="shared" si="138"/>
        <v/>
      </c>
      <c r="AQ276" s="20" t="str">
        <f t="shared" si="138"/>
        <v/>
      </c>
      <c r="AR276" s="20" t="str">
        <f t="shared" si="138"/>
        <v/>
      </c>
      <c r="AS276" s="20" t="str">
        <f t="shared" si="138"/>
        <v/>
      </c>
      <c r="AT276" s="20" t="str">
        <f t="shared" si="138"/>
        <v/>
      </c>
      <c r="AU276" s="20" t="str">
        <f t="shared" si="138"/>
        <v/>
      </c>
      <c r="AV276" s="20" t="str">
        <f t="shared" si="138"/>
        <v/>
      </c>
      <c r="AW276" s="20" t="str">
        <f t="shared" si="138"/>
        <v/>
      </c>
      <c r="AX276" s="20" t="str">
        <f t="shared" si="138"/>
        <v/>
      </c>
    </row>
    <row r="277" ht="39.75" customHeight="1">
      <c r="A277" s="13" t="str">
        <f>'Настройки'!B17</f>
        <v>Концепция 4</v>
      </c>
      <c r="B277" s="19" t="str">
        <f>IF(COUNT('Эксперт 3'!B65)=0,"",'Эксперт 3'!B65)</f>
        <v/>
      </c>
      <c r="C277" s="19" t="str">
        <f>IF(COUNT('Эксперт 3'!C65)=0,"",'Эксперт 3'!C65)</f>
        <v/>
      </c>
      <c r="D277" s="19" t="str">
        <f>IF(COUNT('Эксперт 3'!D65)=0,"",'Эксперт 3'!D65)</f>
        <v/>
      </c>
      <c r="E277" s="19">
        <f>IF(COUNT('Эксперт 3'!E65)=0,"",'Эксперт 3'!E65)</f>
        <v>1</v>
      </c>
      <c r="F277" s="19" t="str">
        <f t="shared" si="134"/>
        <v/>
      </c>
      <c r="G277" s="19" t="str">
        <f t="shared" si="135"/>
        <v/>
      </c>
      <c r="H277" s="20"/>
      <c r="I277" s="20"/>
      <c r="J277" s="20" t="str">
        <f t="shared" si="136"/>
        <v/>
      </c>
      <c r="K277" s="20" t="str">
        <f t="shared" ref="K277:AX277" si="139">IF(J277="","",($B277*J$274+$C277*J$275+$D277*J$276+$E277*J$277)/SUM(J$274:J$277))</f>
        <v/>
      </c>
      <c r="L277" s="20" t="str">
        <f t="shared" si="139"/>
        <v/>
      </c>
      <c r="M277" s="20" t="str">
        <f t="shared" si="139"/>
        <v/>
      </c>
      <c r="N277" s="20" t="str">
        <f t="shared" si="139"/>
        <v/>
      </c>
      <c r="O277" s="20" t="str">
        <f t="shared" si="139"/>
        <v/>
      </c>
      <c r="P277" s="20" t="str">
        <f t="shared" si="139"/>
        <v/>
      </c>
      <c r="Q277" s="20" t="str">
        <f t="shared" si="139"/>
        <v/>
      </c>
      <c r="R277" s="20" t="str">
        <f t="shared" si="139"/>
        <v/>
      </c>
      <c r="S277" s="20" t="str">
        <f t="shared" si="139"/>
        <v/>
      </c>
      <c r="T277" s="20" t="str">
        <f t="shared" si="139"/>
        <v/>
      </c>
      <c r="U277" s="20" t="str">
        <f t="shared" si="139"/>
        <v/>
      </c>
      <c r="V277" s="20" t="str">
        <f t="shared" si="139"/>
        <v/>
      </c>
      <c r="W277" s="20" t="str">
        <f t="shared" si="139"/>
        <v/>
      </c>
      <c r="X277" s="20" t="str">
        <f t="shared" si="139"/>
        <v/>
      </c>
      <c r="Y277" s="20" t="str">
        <f t="shared" si="139"/>
        <v/>
      </c>
      <c r="Z277" s="20" t="str">
        <f t="shared" si="139"/>
        <v/>
      </c>
      <c r="AA277" s="20" t="str">
        <f t="shared" si="139"/>
        <v/>
      </c>
      <c r="AB277" s="20" t="str">
        <f t="shared" si="139"/>
        <v/>
      </c>
      <c r="AC277" s="20" t="str">
        <f t="shared" si="139"/>
        <v/>
      </c>
      <c r="AD277" s="20" t="str">
        <f t="shared" si="139"/>
        <v/>
      </c>
      <c r="AE277" s="20" t="str">
        <f t="shared" si="139"/>
        <v/>
      </c>
      <c r="AF277" s="20" t="str">
        <f t="shared" si="139"/>
        <v/>
      </c>
      <c r="AG277" s="20" t="str">
        <f t="shared" si="139"/>
        <v/>
      </c>
      <c r="AH277" s="20" t="str">
        <f t="shared" si="139"/>
        <v/>
      </c>
      <c r="AI277" s="20" t="str">
        <f t="shared" si="139"/>
        <v/>
      </c>
      <c r="AJ277" s="20" t="str">
        <f t="shared" si="139"/>
        <v/>
      </c>
      <c r="AK277" s="20" t="str">
        <f t="shared" si="139"/>
        <v/>
      </c>
      <c r="AL277" s="20" t="str">
        <f t="shared" si="139"/>
        <v/>
      </c>
      <c r="AM277" s="20" t="str">
        <f t="shared" si="139"/>
        <v/>
      </c>
      <c r="AN277" s="20" t="str">
        <f t="shared" si="139"/>
        <v/>
      </c>
      <c r="AO277" s="20" t="str">
        <f t="shared" si="139"/>
        <v/>
      </c>
      <c r="AP277" s="20" t="str">
        <f t="shared" si="139"/>
        <v/>
      </c>
      <c r="AQ277" s="20" t="str">
        <f t="shared" si="139"/>
        <v/>
      </c>
      <c r="AR277" s="20" t="str">
        <f t="shared" si="139"/>
        <v/>
      </c>
      <c r="AS277" s="20" t="str">
        <f t="shared" si="139"/>
        <v/>
      </c>
      <c r="AT277" s="20" t="str">
        <f t="shared" si="139"/>
        <v/>
      </c>
      <c r="AU277" s="20" t="str">
        <f t="shared" si="139"/>
        <v/>
      </c>
      <c r="AV277" s="20" t="str">
        <f t="shared" si="139"/>
        <v/>
      </c>
      <c r="AW277" s="20" t="str">
        <f t="shared" si="139"/>
        <v/>
      </c>
      <c r="AX277" s="20" t="str">
        <f t="shared" si="139"/>
        <v/>
      </c>
    </row>
    <row r="278" ht="22.5" customHeight="1">
      <c r="A278" s="1"/>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row>
    <row r="279" ht="22.5" customHeight="1">
      <c r="A279" s="1" t="s">
        <v>281</v>
      </c>
      <c r="B279" s="20" t="s">
        <v>282</v>
      </c>
      <c r="C279" s="20" t="s">
        <v>283</v>
      </c>
      <c r="D279" s="20" t="s">
        <v>284</v>
      </c>
      <c r="E279" s="20" t="s">
        <v>285</v>
      </c>
      <c r="F279" s="20" t="s">
        <v>286</v>
      </c>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row>
    <row r="280" ht="22.5" customHeight="1">
      <c r="A280" s="1"/>
      <c r="B280" s="20" t="str">
        <f>IF(COUNT(C280)=0,"",C280/'Настройки'!$B$32)</f>
        <v/>
      </c>
      <c r="C280" s="20" t="str">
        <f>IF(D280="","",MAX(0,(D280-4)/3))</f>
        <v/>
      </c>
      <c r="D280" s="20" t="str">
        <f>IF(COUNT(G274:G277)&lt;4,"",AVERAGE(G274:G277))</f>
        <v/>
      </c>
      <c r="E280" s="20" t="str">
        <f>IF(D280="","",SUM(F274:F277))</f>
        <v/>
      </c>
      <c r="F280" s="20" t="str">
        <f>IF(D280="","",MAX(ABS((G274-$D$280)*F274),ABS((G275-$D$280)*F275),ABS((G276-$D$280)*F276),ABS((G277-$D$280)*F277)))</f>
        <v/>
      </c>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row>
    <row r="281" ht="22.5" customHeight="1">
      <c r="A281" s="1"/>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row>
    <row r="282" ht="22.5" customHeight="1">
      <c r="A282" s="1" t="str">
        <f>IF(COUNT(B280)=0,"Нет оценок",IF(F280&gt;0.00000001,"Недостаточная сходимость",IF(B280&lt;='Настройки'!$B$31,"Согласовано","Пересмотреть сравнения")))</f>
        <v>Нет оценок</v>
      </c>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row>
    <row r="283" ht="22.5" customHeight="1">
      <c r="A283" s="1"/>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row>
    <row r="284" ht="22.5" customHeight="1">
      <c r="A284" s="1"/>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row>
    <row r="285" ht="22.5" customHeight="1">
      <c r="A285" s="1"/>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row>
    <row r="286" ht="22.5" customHeight="1">
      <c r="A286" s="1" t="s">
        <v>312</v>
      </c>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row>
    <row r="287" ht="54.0" customHeight="1">
      <c r="A287" s="3" t="s">
        <v>279</v>
      </c>
      <c r="B287" s="21" t="str">
        <f>'Настройки'!B14</f>
        <v>Детейлинг-центр</v>
      </c>
      <c r="C287" s="21" t="str">
        <f>'Настройки'!B15</f>
        <v>Планировщик покупок</v>
      </c>
      <c r="D287" s="21" t="str">
        <f>'Настройки'!B16</f>
        <v>Концепция 3</v>
      </c>
      <c r="E287" s="21" t="str">
        <f>'Настройки'!B17</f>
        <v>Концепция 4</v>
      </c>
      <c r="F287" s="21" t="s">
        <v>274</v>
      </c>
      <c r="G287" s="21" t="s">
        <v>280</v>
      </c>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row>
    <row r="288" ht="39.75" customHeight="1">
      <c r="A288" s="13" t="str">
        <f>'Настройки'!B14</f>
        <v>Детейлинг-центр</v>
      </c>
      <c r="B288" s="19">
        <f>IF(COUNT('Эксперт 3'!B74)=0,"",'Эксперт 3'!B74)</f>
        <v>1</v>
      </c>
      <c r="C288" s="19" t="str">
        <f>IF(COUNT('Эксперт 3'!C74)=0,"",'Эксперт 3'!C74)</f>
        <v/>
      </c>
      <c r="D288" s="19" t="str">
        <f>IF(COUNT('Эксперт 3'!D74)=0,"",'Эксперт 3'!D74)</f>
        <v/>
      </c>
      <c r="E288" s="19" t="str">
        <f>IF(COUNT('Эксперт 3'!E74)=0,"",'Эксперт 3'!E74)</f>
        <v/>
      </c>
      <c r="F288" s="19" t="str">
        <f t="shared" ref="F288:F291" si="141">IF(AX288="","",AX288/SUM(AX$288:AX$291))</f>
        <v/>
      </c>
      <c r="G288" s="19" t="str">
        <f t="shared" ref="G288:G291" si="142">IF(F288="","",(B288*$F$288+C288*$F$289+D288*$F$290+E288*$F$291)/F288)</f>
        <v/>
      </c>
      <c r="H288" s="20"/>
      <c r="I288" s="20"/>
      <c r="J288" s="20" t="str">
        <f t="shared" ref="J288:J291" si="143">IF(COUNT($B$288:$E$291)&lt;16,"",1/4)</f>
        <v/>
      </c>
      <c r="K288" s="20" t="str">
        <f t="shared" ref="K288:AX288" si="140">IF(J288="","",($B288*J$288+$C288*J$289+$D288*J$290+$E288*J$291)/SUM(J$288:J$291))</f>
        <v/>
      </c>
      <c r="L288" s="20" t="str">
        <f t="shared" si="140"/>
        <v/>
      </c>
      <c r="M288" s="20" t="str">
        <f t="shared" si="140"/>
        <v/>
      </c>
      <c r="N288" s="20" t="str">
        <f t="shared" si="140"/>
        <v/>
      </c>
      <c r="O288" s="20" t="str">
        <f t="shared" si="140"/>
        <v/>
      </c>
      <c r="P288" s="20" t="str">
        <f t="shared" si="140"/>
        <v/>
      </c>
      <c r="Q288" s="20" t="str">
        <f t="shared" si="140"/>
        <v/>
      </c>
      <c r="R288" s="20" t="str">
        <f t="shared" si="140"/>
        <v/>
      </c>
      <c r="S288" s="20" t="str">
        <f t="shared" si="140"/>
        <v/>
      </c>
      <c r="T288" s="20" t="str">
        <f t="shared" si="140"/>
        <v/>
      </c>
      <c r="U288" s="20" t="str">
        <f t="shared" si="140"/>
        <v/>
      </c>
      <c r="V288" s="20" t="str">
        <f t="shared" si="140"/>
        <v/>
      </c>
      <c r="W288" s="20" t="str">
        <f t="shared" si="140"/>
        <v/>
      </c>
      <c r="X288" s="20" t="str">
        <f t="shared" si="140"/>
        <v/>
      </c>
      <c r="Y288" s="20" t="str">
        <f t="shared" si="140"/>
        <v/>
      </c>
      <c r="Z288" s="20" t="str">
        <f t="shared" si="140"/>
        <v/>
      </c>
      <c r="AA288" s="20" t="str">
        <f t="shared" si="140"/>
        <v/>
      </c>
      <c r="AB288" s="20" t="str">
        <f t="shared" si="140"/>
        <v/>
      </c>
      <c r="AC288" s="20" t="str">
        <f t="shared" si="140"/>
        <v/>
      </c>
      <c r="AD288" s="20" t="str">
        <f t="shared" si="140"/>
        <v/>
      </c>
      <c r="AE288" s="20" t="str">
        <f t="shared" si="140"/>
        <v/>
      </c>
      <c r="AF288" s="20" t="str">
        <f t="shared" si="140"/>
        <v/>
      </c>
      <c r="AG288" s="20" t="str">
        <f t="shared" si="140"/>
        <v/>
      </c>
      <c r="AH288" s="20" t="str">
        <f t="shared" si="140"/>
        <v/>
      </c>
      <c r="AI288" s="20" t="str">
        <f t="shared" si="140"/>
        <v/>
      </c>
      <c r="AJ288" s="20" t="str">
        <f t="shared" si="140"/>
        <v/>
      </c>
      <c r="AK288" s="20" t="str">
        <f t="shared" si="140"/>
        <v/>
      </c>
      <c r="AL288" s="20" t="str">
        <f t="shared" si="140"/>
        <v/>
      </c>
      <c r="AM288" s="20" t="str">
        <f t="shared" si="140"/>
        <v/>
      </c>
      <c r="AN288" s="20" t="str">
        <f t="shared" si="140"/>
        <v/>
      </c>
      <c r="AO288" s="20" t="str">
        <f t="shared" si="140"/>
        <v/>
      </c>
      <c r="AP288" s="20" t="str">
        <f t="shared" si="140"/>
        <v/>
      </c>
      <c r="AQ288" s="20" t="str">
        <f t="shared" si="140"/>
        <v/>
      </c>
      <c r="AR288" s="20" t="str">
        <f t="shared" si="140"/>
        <v/>
      </c>
      <c r="AS288" s="20" t="str">
        <f t="shared" si="140"/>
        <v/>
      </c>
      <c r="AT288" s="20" t="str">
        <f t="shared" si="140"/>
        <v/>
      </c>
      <c r="AU288" s="20" t="str">
        <f t="shared" si="140"/>
        <v/>
      </c>
      <c r="AV288" s="20" t="str">
        <f t="shared" si="140"/>
        <v/>
      </c>
      <c r="AW288" s="20" t="str">
        <f t="shared" si="140"/>
        <v/>
      </c>
      <c r="AX288" s="20" t="str">
        <f t="shared" si="140"/>
        <v/>
      </c>
    </row>
    <row r="289" ht="39.75" customHeight="1">
      <c r="A289" s="13" t="str">
        <f>'Настройки'!B15</f>
        <v>Планировщик покупок</v>
      </c>
      <c r="B289" s="19" t="str">
        <f>IF(COUNT('Эксперт 3'!B75)=0,"",'Эксперт 3'!B75)</f>
        <v/>
      </c>
      <c r="C289" s="19">
        <f>IF(COUNT('Эксперт 3'!C75)=0,"",'Эксперт 3'!C75)</f>
        <v>1</v>
      </c>
      <c r="D289" s="19" t="str">
        <f>IF(COUNT('Эксперт 3'!D75)=0,"",'Эксперт 3'!D75)</f>
        <v/>
      </c>
      <c r="E289" s="19" t="str">
        <f>IF(COUNT('Эксперт 3'!E75)=0,"",'Эксперт 3'!E75)</f>
        <v/>
      </c>
      <c r="F289" s="19" t="str">
        <f t="shared" si="141"/>
        <v/>
      </c>
      <c r="G289" s="19" t="str">
        <f t="shared" si="142"/>
        <v/>
      </c>
      <c r="H289" s="20"/>
      <c r="I289" s="20"/>
      <c r="J289" s="20" t="str">
        <f t="shared" si="143"/>
        <v/>
      </c>
      <c r="K289" s="20" t="str">
        <f t="shared" ref="K289:AX289" si="144">IF(J289="","",($B289*J$288+$C289*J$289+$D289*J$290+$E289*J$291)/SUM(J$288:J$291))</f>
        <v/>
      </c>
      <c r="L289" s="20" t="str">
        <f t="shared" si="144"/>
        <v/>
      </c>
      <c r="M289" s="20" t="str">
        <f t="shared" si="144"/>
        <v/>
      </c>
      <c r="N289" s="20" t="str">
        <f t="shared" si="144"/>
        <v/>
      </c>
      <c r="O289" s="20" t="str">
        <f t="shared" si="144"/>
        <v/>
      </c>
      <c r="P289" s="20" t="str">
        <f t="shared" si="144"/>
        <v/>
      </c>
      <c r="Q289" s="20" t="str">
        <f t="shared" si="144"/>
        <v/>
      </c>
      <c r="R289" s="20" t="str">
        <f t="shared" si="144"/>
        <v/>
      </c>
      <c r="S289" s="20" t="str">
        <f t="shared" si="144"/>
        <v/>
      </c>
      <c r="T289" s="20" t="str">
        <f t="shared" si="144"/>
        <v/>
      </c>
      <c r="U289" s="20" t="str">
        <f t="shared" si="144"/>
        <v/>
      </c>
      <c r="V289" s="20" t="str">
        <f t="shared" si="144"/>
        <v/>
      </c>
      <c r="W289" s="20" t="str">
        <f t="shared" si="144"/>
        <v/>
      </c>
      <c r="X289" s="20" t="str">
        <f t="shared" si="144"/>
        <v/>
      </c>
      <c r="Y289" s="20" t="str">
        <f t="shared" si="144"/>
        <v/>
      </c>
      <c r="Z289" s="20" t="str">
        <f t="shared" si="144"/>
        <v/>
      </c>
      <c r="AA289" s="20" t="str">
        <f t="shared" si="144"/>
        <v/>
      </c>
      <c r="AB289" s="20" t="str">
        <f t="shared" si="144"/>
        <v/>
      </c>
      <c r="AC289" s="20" t="str">
        <f t="shared" si="144"/>
        <v/>
      </c>
      <c r="AD289" s="20" t="str">
        <f t="shared" si="144"/>
        <v/>
      </c>
      <c r="AE289" s="20" t="str">
        <f t="shared" si="144"/>
        <v/>
      </c>
      <c r="AF289" s="20" t="str">
        <f t="shared" si="144"/>
        <v/>
      </c>
      <c r="AG289" s="20" t="str">
        <f t="shared" si="144"/>
        <v/>
      </c>
      <c r="AH289" s="20" t="str">
        <f t="shared" si="144"/>
        <v/>
      </c>
      <c r="AI289" s="20" t="str">
        <f t="shared" si="144"/>
        <v/>
      </c>
      <c r="AJ289" s="20" t="str">
        <f t="shared" si="144"/>
        <v/>
      </c>
      <c r="AK289" s="20" t="str">
        <f t="shared" si="144"/>
        <v/>
      </c>
      <c r="AL289" s="20" t="str">
        <f t="shared" si="144"/>
        <v/>
      </c>
      <c r="AM289" s="20" t="str">
        <f t="shared" si="144"/>
        <v/>
      </c>
      <c r="AN289" s="20" t="str">
        <f t="shared" si="144"/>
        <v/>
      </c>
      <c r="AO289" s="20" t="str">
        <f t="shared" si="144"/>
        <v/>
      </c>
      <c r="AP289" s="20" t="str">
        <f t="shared" si="144"/>
        <v/>
      </c>
      <c r="AQ289" s="20" t="str">
        <f t="shared" si="144"/>
        <v/>
      </c>
      <c r="AR289" s="20" t="str">
        <f t="shared" si="144"/>
        <v/>
      </c>
      <c r="AS289" s="20" t="str">
        <f t="shared" si="144"/>
        <v/>
      </c>
      <c r="AT289" s="20" t="str">
        <f t="shared" si="144"/>
        <v/>
      </c>
      <c r="AU289" s="20" t="str">
        <f t="shared" si="144"/>
        <v/>
      </c>
      <c r="AV289" s="20" t="str">
        <f t="shared" si="144"/>
        <v/>
      </c>
      <c r="AW289" s="20" t="str">
        <f t="shared" si="144"/>
        <v/>
      </c>
      <c r="AX289" s="20" t="str">
        <f t="shared" si="144"/>
        <v/>
      </c>
    </row>
    <row r="290" ht="39.75" customHeight="1">
      <c r="A290" s="13" t="str">
        <f>'Настройки'!B16</f>
        <v>Концепция 3</v>
      </c>
      <c r="B290" s="19" t="str">
        <f>IF(COUNT('Эксперт 3'!B76)=0,"",'Эксперт 3'!B76)</f>
        <v/>
      </c>
      <c r="C290" s="19" t="str">
        <f>IF(COUNT('Эксперт 3'!C76)=0,"",'Эксперт 3'!C76)</f>
        <v/>
      </c>
      <c r="D290" s="19">
        <f>IF(COUNT('Эксперт 3'!D76)=0,"",'Эксперт 3'!D76)</f>
        <v>1</v>
      </c>
      <c r="E290" s="19" t="str">
        <f>IF(COUNT('Эксперт 3'!E76)=0,"",'Эксперт 3'!E76)</f>
        <v/>
      </c>
      <c r="F290" s="19" t="str">
        <f t="shared" si="141"/>
        <v/>
      </c>
      <c r="G290" s="19" t="str">
        <f t="shared" si="142"/>
        <v/>
      </c>
      <c r="H290" s="20"/>
      <c r="I290" s="20"/>
      <c r="J290" s="20" t="str">
        <f t="shared" si="143"/>
        <v/>
      </c>
      <c r="K290" s="20" t="str">
        <f t="shared" ref="K290:AX290" si="145">IF(J290="","",($B290*J$288+$C290*J$289+$D290*J$290+$E290*J$291)/SUM(J$288:J$291))</f>
        <v/>
      </c>
      <c r="L290" s="20" t="str">
        <f t="shared" si="145"/>
        <v/>
      </c>
      <c r="M290" s="20" t="str">
        <f t="shared" si="145"/>
        <v/>
      </c>
      <c r="N290" s="20" t="str">
        <f t="shared" si="145"/>
        <v/>
      </c>
      <c r="O290" s="20" t="str">
        <f t="shared" si="145"/>
        <v/>
      </c>
      <c r="P290" s="20" t="str">
        <f t="shared" si="145"/>
        <v/>
      </c>
      <c r="Q290" s="20" t="str">
        <f t="shared" si="145"/>
        <v/>
      </c>
      <c r="R290" s="20" t="str">
        <f t="shared" si="145"/>
        <v/>
      </c>
      <c r="S290" s="20" t="str">
        <f t="shared" si="145"/>
        <v/>
      </c>
      <c r="T290" s="20" t="str">
        <f t="shared" si="145"/>
        <v/>
      </c>
      <c r="U290" s="20" t="str">
        <f t="shared" si="145"/>
        <v/>
      </c>
      <c r="V290" s="20" t="str">
        <f t="shared" si="145"/>
        <v/>
      </c>
      <c r="W290" s="20" t="str">
        <f t="shared" si="145"/>
        <v/>
      </c>
      <c r="X290" s="20" t="str">
        <f t="shared" si="145"/>
        <v/>
      </c>
      <c r="Y290" s="20" t="str">
        <f t="shared" si="145"/>
        <v/>
      </c>
      <c r="Z290" s="20" t="str">
        <f t="shared" si="145"/>
        <v/>
      </c>
      <c r="AA290" s="20" t="str">
        <f t="shared" si="145"/>
        <v/>
      </c>
      <c r="AB290" s="20" t="str">
        <f t="shared" si="145"/>
        <v/>
      </c>
      <c r="AC290" s="20" t="str">
        <f t="shared" si="145"/>
        <v/>
      </c>
      <c r="AD290" s="20" t="str">
        <f t="shared" si="145"/>
        <v/>
      </c>
      <c r="AE290" s="20" t="str">
        <f t="shared" si="145"/>
        <v/>
      </c>
      <c r="AF290" s="20" t="str">
        <f t="shared" si="145"/>
        <v/>
      </c>
      <c r="AG290" s="20" t="str">
        <f t="shared" si="145"/>
        <v/>
      </c>
      <c r="AH290" s="20" t="str">
        <f t="shared" si="145"/>
        <v/>
      </c>
      <c r="AI290" s="20" t="str">
        <f t="shared" si="145"/>
        <v/>
      </c>
      <c r="AJ290" s="20" t="str">
        <f t="shared" si="145"/>
        <v/>
      </c>
      <c r="AK290" s="20" t="str">
        <f t="shared" si="145"/>
        <v/>
      </c>
      <c r="AL290" s="20" t="str">
        <f t="shared" si="145"/>
        <v/>
      </c>
      <c r="AM290" s="20" t="str">
        <f t="shared" si="145"/>
        <v/>
      </c>
      <c r="AN290" s="20" t="str">
        <f t="shared" si="145"/>
        <v/>
      </c>
      <c r="AO290" s="20" t="str">
        <f t="shared" si="145"/>
        <v/>
      </c>
      <c r="AP290" s="20" t="str">
        <f t="shared" si="145"/>
        <v/>
      </c>
      <c r="AQ290" s="20" t="str">
        <f t="shared" si="145"/>
        <v/>
      </c>
      <c r="AR290" s="20" t="str">
        <f t="shared" si="145"/>
        <v/>
      </c>
      <c r="AS290" s="20" t="str">
        <f t="shared" si="145"/>
        <v/>
      </c>
      <c r="AT290" s="20" t="str">
        <f t="shared" si="145"/>
        <v/>
      </c>
      <c r="AU290" s="20" t="str">
        <f t="shared" si="145"/>
        <v/>
      </c>
      <c r="AV290" s="20" t="str">
        <f t="shared" si="145"/>
        <v/>
      </c>
      <c r="AW290" s="20" t="str">
        <f t="shared" si="145"/>
        <v/>
      </c>
      <c r="AX290" s="20" t="str">
        <f t="shared" si="145"/>
        <v/>
      </c>
    </row>
    <row r="291" ht="39.75" customHeight="1">
      <c r="A291" s="13" t="str">
        <f>'Настройки'!B17</f>
        <v>Концепция 4</v>
      </c>
      <c r="B291" s="19" t="str">
        <f>IF(COUNT('Эксперт 3'!B77)=0,"",'Эксперт 3'!B77)</f>
        <v/>
      </c>
      <c r="C291" s="19" t="str">
        <f>IF(COUNT('Эксперт 3'!C77)=0,"",'Эксперт 3'!C77)</f>
        <v/>
      </c>
      <c r="D291" s="19" t="str">
        <f>IF(COUNT('Эксперт 3'!D77)=0,"",'Эксперт 3'!D77)</f>
        <v/>
      </c>
      <c r="E291" s="19">
        <f>IF(COUNT('Эксперт 3'!E77)=0,"",'Эксперт 3'!E77)</f>
        <v>1</v>
      </c>
      <c r="F291" s="19" t="str">
        <f t="shared" si="141"/>
        <v/>
      </c>
      <c r="G291" s="19" t="str">
        <f t="shared" si="142"/>
        <v/>
      </c>
      <c r="H291" s="20"/>
      <c r="I291" s="20"/>
      <c r="J291" s="20" t="str">
        <f t="shared" si="143"/>
        <v/>
      </c>
      <c r="K291" s="20" t="str">
        <f t="shared" ref="K291:AX291" si="146">IF(J291="","",($B291*J$288+$C291*J$289+$D291*J$290+$E291*J$291)/SUM(J$288:J$291))</f>
        <v/>
      </c>
      <c r="L291" s="20" t="str">
        <f t="shared" si="146"/>
        <v/>
      </c>
      <c r="M291" s="20" t="str">
        <f t="shared" si="146"/>
        <v/>
      </c>
      <c r="N291" s="20" t="str">
        <f t="shared" si="146"/>
        <v/>
      </c>
      <c r="O291" s="20" t="str">
        <f t="shared" si="146"/>
        <v/>
      </c>
      <c r="P291" s="20" t="str">
        <f t="shared" si="146"/>
        <v/>
      </c>
      <c r="Q291" s="20" t="str">
        <f t="shared" si="146"/>
        <v/>
      </c>
      <c r="R291" s="20" t="str">
        <f t="shared" si="146"/>
        <v/>
      </c>
      <c r="S291" s="20" t="str">
        <f t="shared" si="146"/>
        <v/>
      </c>
      <c r="T291" s="20" t="str">
        <f t="shared" si="146"/>
        <v/>
      </c>
      <c r="U291" s="20" t="str">
        <f t="shared" si="146"/>
        <v/>
      </c>
      <c r="V291" s="20" t="str">
        <f t="shared" si="146"/>
        <v/>
      </c>
      <c r="W291" s="20" t="str">
        <f t="shared" si="146"/>
        <v/>
      </c>
      <c r="X291" s="20" t="str">
        <f t="shared" si="146"/>
        <v/>
      </c>
      <c r="Y291" s="20" t="str">
        <f t="shared" si="146"/>
        <v/>
      </c>
      <c r="Z291" s="20" t="str">
        <f t="shared" si="146"/>
        <v/>
      </c>
      <c r="AA291" s="20" t="str">
        <f t="shared" si="146"/>
        <v/>
      </c>
      <c r="AB291" s="20" t="str">
        <f t="shared" si="146"/>
        <v/>
      </c>
      <c r="AC291" s="20" t="str">
        <f t="shared" si="146"/>
        <v/>
      </c>
      <c r="AD291" s="20" t="str">
        <f t="shared" si="146"/>
        <v/>
      </c>
      <c r="AE291" s="20" t="str">
        <f t="shared" si="146"/>
        <v/>
      </c>
      <c r="AF291" s="20" t="str">
        <f t="shared" si="146"/>
        <v/>
      </c>
      <c r="AG291" s="20" t="str">
        <f t="shared" si="146"/>
        <v/>
      </c>
      <c r="AH291" s="20" t="str">
        <f t="shared" si="146"/>
        <v/>
      </c>
      <c r="AI291" s="20" t="str">
        <f t="shared" si="146"/>
        <v/>
      </c>
      <c r="AJ291" s="20" t="str">
        <f t="shared" si="146"/>
        <v/>
      </c>
      <c r="AK291" s="20" t="str">
        <f t="shared" si="146"/>
        <v/>
      </c>
      <c r="AL291" s="20" t="str">
        <f t="shared" si="146"/>
        <v/>
      </c>
      <c r="AM291" s="20" t="str">
        <f t="shared" si="146"/>
        <v/>
      </c>
      <c r="AN291" s="20" t="str">
        <f t="shared" si="146"/>
        <v/>
      </c>
      <c r="AO291" s="20" t="str">
        <f t="shared" si="146"/>
        <v/>
      </c>
      <c r="AP291" s="20" t="str">
        <f t="shared" si="146"/>
        <v/>
      </c>
      <c r="AQ291" s="20" t="str">
        <f t="shared" si="146"/>
        <v/>
      </c>
      <c r="AR291" s="20" t="str">
        <f t="shared" si="146"/>
        <v/>
      </c>
      <c r="AS291" s="20" t="str">
        <f t="shared" si="146"/>
        <v/>
      </c>
      <c r="AT291" s="20" t="str">
        <f t="shared" si="146"/>
        <v/>
      </c>
      <c r="AU291" s="20" t="str">
        <f t="shared" si="146"/>
        <v/>
      </c>
      <c r="AV291" s="20" t="str">
        <f t="shared" si="146"/>
        <v/>
      </c>
      <c r="AW291" s="20" t="str">
        <f t="shared" si="146"/>
        <v/>
      </c>
      <c r="AX291" s="20" t="str">
        <f t="shared" si="146"/>
        <v/>
      </c>
    </row>
    <row r="292" ht="22.5" customHeight="1">
      <c r="A292" s="1"/>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row>
    <row r="293" ht="22.5" customHeight="1">
      <c r="A293" s="1" t="s">
        <v>281</v>
      </c>
      <c r="B293" s="20" t="s">
        <v>282</v>
      </c>
      <c r="C293" s="20" t="s">
        <v>283</v>
      </c>
      <c r="D293" s="20" t="s">
        <v>284</v>
      </c>
      <c r="E293" s="20" t="s">
        <v>285</v>
      </c>
      <c r="F293" s="20" t="s">
        <v>286</v>
      </c>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row>
    <row r="294" ht="22.5" customHeight="1">
      <c r="A294" s="1"/>
      <c r="B294" s="20" t="str">
        <f>IF(COUNT(C294)=0,"",C294/'Настройки'!$B$32)</f>
        <v/>
      </c>
      <c r="C294" s="20" t="str">
        <f>IF(D294="","",MAX(0,(D294-4)/3))</f>
        <v/>
      </c>
      <c r="D294" s="20" t="str">
        <f>IF(COUNT(G288:G291)&lt;4,"",AVERAGE(G288:G291))</f>
        <v/>
      </c>
      <c r="E294" s="20" t="str">
        <f>IF(D294="","",SUM(F288:F291))</f>
        <v/>
      </c>
      <c r="F294" s="20" t="str">
        <f>IF(D294="","",MAX(ABS((G288-$D$294)*F288),ABS((G289-$D$294)*F289),ABS((G290-$D$294)*F290),ABS((G291-$D$294)*F291)))</f>
        <v/>
      </c>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row>
    <row r="295" ht="22.5" customHeight="1">
      <c r="A295" s="1"/>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row>
    <row r="296" ht="22.5" customHeight="1">
      <c r="A296" s="1" t="str">
        <f>IF(COUNT(B294)=0,"Нет оценок",IF(F294&gt;0.00000001,"Недостаточная сходимость",IF(B294&lt;='Настройки'!$B$31,"Согласовано","Пересмотреть сравнения")))</f>
        <v>Нет оценок</v>
      </c>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row>
    <row r="297" ht="22.5" customHeight="1">
      <c r="A297" s="1"/>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row>
    <row r="298" ht="22.5" customHeight="1">
      <c r="A298" s="1"/>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row>
    <row r="299" ht="22.5" customHeight="1">
      <c r="A299" s="1"/>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row>
    <row r="300" ht="22.5" customHeight="1">
      <c r="A300" s="1" t="s">
        <v>313</v>
      </c>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row>
    <row r="301" ht="54.0" customHeight="1">
      <c r="A301" s="3" t="s">
        <v>279</v>
      </c>
      <c r="B301" s="21" t="str">
        <f>'Настройки'!B21</f>
        <v>Практическая полезность</v>
      </c>
      <c r="C301" s="21" t="str">
        <f>'Настройки'!B22</f>
        <v>Простота реализации</v>
      </c>
      <c r="D301" s="21" t="str">
        <f>'Настройки'!B23</f>
        <v>Удобство оценки и планирования</v>
      </c>
      <c r="E301" s="21" t="str">
        <f>'Настройки'!B24</f>
        <v>Интерес команды</v>
      </c>
      <c r="F301" s="21" t="s">
        <v>274</v>
      </c>
      <c r="G301" s="21" t="s">
        <v>280</v>
      </c>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row>
    <row r="302" ht="39.75" customHeight="1">
      <c r="A302" s="13" t="str">
        <f>'Настройки'!B21</f>
        <v>Практическая полезность</v>
      </c>
      <c r="B302" s="19">
        <f>IF(COUNT('Эксперт 4'!B26)=0,"",'Эксперт 4'!B26)</f>
        <v>1</v>
      </c>
      <c r="C302" s="19" t="str">
        <f>IF(COUNT('Эксперт 4'!C26)=0,"",'Эксперт 4'!C26)</f>
        <v/>
      </c>
      <c r="D302" s="19" t="str">
        <f>IF(COUNT('Эксперт 4'!D26)=0,"",'Эксперт 4'!D26)</f>
        <v/>
      </c>
      <c r="E302" s="19" t="str">
        <f>IF(COUNT('Эксперт 4'!E26)=0,"",'Эксперт 4'!E26)</f>
        <v/>
      </c>
      <c r="F302" s="19" t="str">
        <f t="shared" ref="F302:F305" si="148">IF(AX302="","",AX302/SUM(AX$302:AX$305))</f>
        <v/>
      </c>
      <c r="G302" s="19" t="str">
        <f t="shared" ref="G302:G305" si="149">IF(F302="","",(B302*$F$302+C302*$F$303+D302*$F$304+E302*$F$305)/F302)</f>
        <v/>
      </c>
      <c r="H302" s="20"/>
      <c r="I302" s="20"/>
      <c r="J302" s="20" t="str">
        <f t="shared" ref="J302:J305" si="150">IF(COUNT($B$302:$E$305)&lt;16,"",1/4)</f>
        <v/>
      </c>
      <c r="K302" s="20" t="str">
        <f t="shared" ref="K302:AX302" si="147">IF(J302="","",($B302*J$302+$C302*J$303+$D302*J$304+$E302*J$305)/SUM(J$302:J$305))</f>
        <v/>
      </c>
      <c r="L302" s="20" t="str">
        <f t="shared" si="147"/>
        <v/>
      </c>
      <c r="M302" s="20" t="str">
        <f t="shared" si="147"/>
        <v/>
      </c>
      <c r="N302" s="20" t="str">
        <f t="shared" si="147"/>
        <v/>
      </c>
      <c r="O302" s="20" t="str">
        <f t="shared" si="147"/>
        <v/>
      </c>
      <c r="P302" s="20" t="str">
        <f t="shared" si="147"/>
        <v/>
      </c>
      <c r="Q302" s="20" t="str">
        <f t="shared" si="147"/>
        <v/>
      </c>
      <c r="R302" s="20" t="str">
        <f t="shared" si="147"/>
        <v/>
      </c>
      <c r="S302" s="20" t="str">
        <f t="shared" si="147"/>
        <v/>
      </c>
      <c r="T302" s="20" t="str">
        <f t="shared" si="147"/>
        <v/>
      </c>
      <c r="U302" s="20" t="str">
        <f t="shared" si="147"/>
        <v/>
      </c>
      <c r="V302" s="20" t="str">
        <f t="shared" si="147"/>
        <v/>
      </c>
      <c r="W302" s="20" t="str">
        <f t="shared" si="147"/>
        <v/>
      </c>
      <c r="X302" s="20" t="str">
        <f t="shared" si="147"/>
        <v/>
      </c>
      <c r="Y302" s="20" t="str">
        <f t="shared" si="147"/>
        <v/>
      </c>
      <c r="Z302" s="20" t="str">
        <f t="shared" si="147"/>
        <v/>
      </c>
      <c r="AA302" s="20" t="str">
        <f t="shared" si="147"/>
        <v/>
      </c>
      <c r="AB302" s="20" t="str">
        <f t="shared" si="147"/>
        <v/>
      </c>
      <c r="AC302" s="20" t="str">
        <f t="shared" si="147"/>
        <v/>
      </c>
      <c r="AD302" s="20" t="str">
        <f t="shared" si="147"/>
        <v/>
      </c>
      <c r="AE302" s="20" t="str">
        <f t="shared" si="147"/>
        <v/>
      </c>
      <c r="AF302" s="20" t="str">
        <f t="shared" si="147"/>
        <v/>
      </c>
      <c r="AG302" s="20" t="str">
        <f t="shared" si="147"/>
        <v/>
      </c>
      <c r="AH302" s="20" t="str">
        <f t="shared" si="147"/>
        <v/>
      </c>
      <c r="AI302" s="20" t="str">
        <f t="shared" si="147"/>
        <v/>
      </c>
      <c r="AJ302" s="20" t="str">
        <f t="shared" si="147"/>
        <v/>
      </c>
      <c r="AK302" s="20" t="str">
        <f t="shared" si="147"/>
        <v/>
      </c>
      <c r="AL302" s="20" t="str">
        <f t="shared" si="147"/>
        <v/>
      </c>
      <c r="AM302" s="20" t="str">
        <f t="shared" si="147"/>
        <v/>
      </c>
      <c r="AN302" s="20" t="str">
        <f t="shared" si="147"/>
        <v/>
      </c>
      <c r="AO302" s="20" t="str">
        <f t="shared" si="147"/>
        <v/>
      </c>
      <c r="AP302" s="20" t="str">
        <f t="shared" si="147"/>
        <v/>
      </c>
      <c r="AQ302" s="20" t="str">
        <f t="shared" si="147"/>
        <v/>
      </c>
      <c r="AR302" s="20" t="str">
        <f t="shared" si="147"/>
        <v/>
      </c>
      <c r="AS302" s="20" t="str">
        <f t="shared" si="147"/>
        <v/>
      </c>
      <c r="AT302" s="20" t="str">
        <f t="shared" si="147"/>
        <v/>
      </c>
      <c r="AU302" s="20" t="str">
        <f t="shared" si="147"/>
        <v/>
      </c>
      <c r="AV302" s="20" t="str">
        <f t="shared" si="147"/>
        <v/>
      </c>
      <c r="AW302" s="20" t="str">
        <f t="shared" si="147"/>
        <v/>
      </c>
      <c r="AX302" s="20" t="str">
        <f t="shared" si="147"/>
        <v/>
      </c>
    </row>
    <row r="303" ht="39.75" customHeight="1">
      <c r="A303" s="13" t="str">
        <f>'Настройки'!B22</f>
        <v>Простота реализации</v>
      </c>
      <c r="B303" s="19" t="str">
        <f>IF(COUNT('Эксперт 4'!B27)=0,"",'Эксперт 4'!B27)</f>
        <v/>
      </c>
      <c r="C303" s="19">
        <f>IF(COUNT('Эксперт 4'!C27)=0,"",'Эксперт 4'!C27)</f>
        <v>1</v>
      </c>
      <c r="D303" s="19" t="str">
        <f>IF(COUNT('Эксперт 4'!D27)=0,"",'Эксперт 4'!D27)</f>
        <v/>
      </c>
      <c r="E303" s="19" t="str">
        <f>IF(COUNT('Эксперт 4'!E27)=0,"",'Эксперт 4'!E27)</f>
        <v/>
      </c>
      <c r="F303" s="19" t="str">
        <f t="shared" si="148"/>
        <v/>
      </c>
      <c r="G303" s="19" t="str">
        <f t="shared" si="149"/>
        <v/>
      </c>
      <c r="H303" s="20"/>
      <c r="I303" s="20"/>
      <c r="J303" s="20" t="str">
        <f t="shared" si="150"/>
        <v/>
      </c>
      <c r="K303" s="20" t="str">
        <f t="shared" ref="K303:AX303" si="151">IF(J303="","",($B303*J$302+$C303*J$303+$D303*J$304+$E303*J$305)/SUM(J$302:J$305))</f>
        <v/>
      </c>
      <c r="L303" s="20" t="str">
        <f t="shared" si="151"/>
        <v/>
      </c>
      <c r="M303" s="20" t="str">
        <f t="shared" si="151"/>
        <v/>
      </c>
      <c r="N303" s="20" t="str">
        <f t="shared" si="151"/>
        <v/>
      </c>
      <c r="O303" s="20" t="str">
        <f t="shared" si="151"/>
        <v/>
      </c>
      <c r="P303" s="20" t="str">
        <f t="shared" si="151"/>
        <v/>
      </c>
      <c r="Q303" s="20" t="str">
        <f t="shared" si="151"/>
        <v/>
      </c>
      <c r="R303" s="20" t="str">
        <f t="shared" si="151"/>
        <v/>
      </c>
      <c r="S303" s="20" t="str">
        <f t="shared" si="151"/>
        <v/>
      </c>
      <c r="T303" s="20" t="str">
        <f t="shared" si="151"/>
        <v/>
      </c>
      <c r="U303" s="20" t="str">
        <f t="shared" si="151"/>
        <v/>
      </c>
      <c r="V303" s="20" t="str">
        <f t="shared" si="151"/>
        <v/>
      </c>
      <c r="W303" s="20" t="str">
        <f t="shared" si="151"/>
        <v/>
      </c>
      <c r="X303" s="20" t="str">
        <f t="shared" si="151"/>
        <v/>
      </c>
      <c r="Y303" s="20" t="str">
        <f t="shared" si="151"/>
        <v/>
      </c>
      <c r="Z303" s="20" t="str">
        <f t="shared" si="151"/>
        <v/>
      </c>
      <c r="AA303" s="20" t="str">
        <f t="shared" si="151"/>
        <v/>
      </c>
      <c r="AB303" s="20" t="str">
        <f t="shared" si="151"/>
        <v/>
      </c>
      <c r="AC303" s="20" t="str">
        <f t="shared" si="151"/>
        <v/>
      </c>
      <c r="AD303" s="20" t="str">
        <f t="shared" si="151"/>
        <v/>
      </c>
      <c r="AE303" s="20" t="str">
        <f t="shared" si="151"/>
        <v/>
      </c>
      <c r="AF303" s="20" t="str">
        <f t="shared" si="151"/>
        <v/>
      </c>
      <c r="AG303" s="20" t="str">
        <f t="shared" si="151"/>
        <v/>
      </c>
      <c r="AH303" s="20" t="str">
        <f t="shared" si="151"/>
        <v/>
      </c>
      <c r="AI303" s="20" t="str">
        <f t="shared" si="151"/>
        <v/>
      </c>
      <c r="AJ303" s="20" t="str">
        <f t="shared" si="151"/>
        <v/>
      </c>
      <c r="AK303" s="20" t="str">
        <f t="shared" si="151"/>
        <v/>
      </c>
      <c r="AL303" s="20" t="str">
        <f t="shared" si="151"/>
        <v/>
      </c>
      <c r="AM303" s="20" t="str">
        <f t="shared" si="151"/>
        <v/>
      </c>
      <c r="AN303" s="20" t="str">
        <f t="shared" si="151"/>
        <v/>
      </c>
      <c r="AO303" s="20" t="str">
        <f t="shared" si="151"/>
        <v/>
      </c>
      <c r="AP303" s="20" t="str">
        <f t="shared" si="151"/>
        <v/>
      </c>
      <c r="AQ303" s="20" t="str">
        <f t="shared" si="151"/>
        <v/>
      </c>
      <c r="AR303" s="20" t="str">
        <f t="shared" si="151"/>
        <v/>
      </c>
      <c r="AS303" s="20" t="str">
        <f t="shared" si="151"/>
        <v/>
      </c>
      <c r="AT303" s="20" t="str">
        <f t="shared" si="151"/>
        <v/>
      </c>
      <c r="AU303" s="20" t="str">
        <f t="shared" si="151"/>
        <v/>
      </c>
      <c r="AV303" s="20" t="str">
        <f t="shared" si="151"/>
        <v/>
      </c>
      <c r="AW303" s="20" t="str">
        <f t="shared" si="151"/>
        <v/>
      </c>
      <c r="AX303" s="20" t="str">
        <f t="shared" si="151"/>
        <v/>
      </c>
    </row>
    <row r="304" ht="39.75" customHeight="1">
      <c r="A304" s="13" t="str">
        <f>'Настройки'!B23</f>
        <v>Удобство оценки и планирования</v>
      </c>
      <c r="B304" s="19" t="str">
        <f>IF(COUNT('Эксперт 4'!B28)=0,"",'Эксперт 4'!B28)</f>
        <v/>
      </c>
      <c r="C304" s="19" t="str">
        <f>IF(COUNT('Эксперт 4'!C28)=0,"",'Эксперт 4'!C28)</f>
        <v/>
      </c>
      <c r="D304" s="19">
        <f>IF(COUNT('Эксперт 4'!D28)=0,"",'Эксперт 4'!D28)</f>
        <v>1</v>
      </c>
      <c r="E304" s="19" t="str">
        <f>IF(COUNT('Эксперт 4'!E28)=0,"",'Эксперт 4'!E28)</f>
        <v/>
      </c>
      <c r="F304" s="19" t="str">
        <f t="shared" si="148"/>
        <v/>
      </c>
      <c r="G304" s="19" t="str">
        <f t="shared" si="149"/>
        <v/>
      </c>
      <c r="H304" s="20"/>
      <c r="I304" s="20"/>
      <c r="J304" s="20" t="str">
        <f t="shared" si="150"/>
        <v/>
      </c>
      <c r="K304" s="20" t="str">
        <f t="shared" ref="K304:AX304" si="152">IF(J304="","",($B304*J$302+$C304*J$303+$D304*J$304+$E304*J$305)/SUM(J$302:J$305))</f>
        <v/>
      </c>
      <c r="L304" s="20" t="str">
        <f t="shared" si="152"/>
        <v/>
      </c>
      <c r="M304" s="20" t="str">
        <f t="shared" si="152"/>
        <v/>
      </c>
      <c r="N304" s="20" t="str">
        <f t="shared" si="152"/>
        <v/>
      </c>
      <c r="O304" s="20" t="str">
        <f t="shared" si="152"/>
        <v/>
      </c>
      <c r="P304" s="20" t="str">
        <f t="shared" si="152"/>
        <v/>
      </c>
      <c r="Q304" s="20" t="str">
        <f t="shared" si="152"/>
        <v/>
      </c>
      <c r="R304" s="20" t="str">
        <f t="shared" si="152"/>
        <v/>
      </c>
      <c r="S304" s="20" t="str">
        <f t="shared" si="152"/>
        <v/>
      </c>
      <c r="T304" s="20" t="str">
        <f t="shared" si="152"/>
        <v/>
      </c>
      <c r="U304" s="20" t="str">
        <f t="shared" si="152"/>
        <v/>
      </c>
      <c r="V304" s="20" t="str">
        <f t="shared" si="152"/>
        <v/>
      </c>
      <c r="W304" s="20" t="str">
        <f t="shared" si="152"/>
        <v/>
      </c>
      <c r="X304" s="20" t="str">
        <f t="shared" si="152"/>
        <v/>
      </c>
      <c r="Y304" s="20" t="str">
        <f t="shared" si="152"/>
        <v/>
      </c>
      <c r="Z304" s="20" t="str">
        <f t="shared" si="152"/>
        <v/>
      </c>
      <c r="AA304" s="20" t="str">
        <f t="shared" si="152"/>
        <v/>
      </c>
      <c r="AB304" s="20" t="str">
        <f t="shared" si="152"/>
        <v/>
      </c>
      <c r="AC304" s="20" t="str">
        <f t="shared" si="152"/>
        <v/>
      </c>
      <c r="AD304" s="20" t="str">
        <f t="shared" si="152"/>
        <v/>
      </c>
      <c r="AE304" s="20" t="str">
        <f t="shared" si="152"/>
        <v/>
      </c>
      <c r="AF304" s="20" t="str">
        <f t="shared" si="152"/>
        <v/>
      </c>
      <c r="AG304" s="20" t="str">
        <f t="shared" si="152"/>
        <v/>
      </c>
      <c r="AH304" s="20" t="str">
        <f t="shared" si="152"/>
        <v/>
      </c>
      <c r="AI304" s="20" t="str">
        <f t="shared" si="152"/>
        <v/>
      </c>
      <c r="AJ304" s="20" t="str">
        <f t="shared" si="152"/>
        <v/>
      </c>
      <c r="AK304" s="20" t="str">
        <f t="shared" si="152"/>
        <v/>
      </c>
      <c r="AL304" s="20" t="str">
        <f t="shared" si="152"/>
        <v/>
      </c>
      <c r="AM304" s="20" t="str">
        <f t="shared" si="152"/>
        <v/>
      </c>
      <c r="AN304" s="20" t="str">
        <f t="shared" si="152"/>
        <v/>
      </c>
      <c r="AO304" s="20" t="str">
        <f t="shared" si="152"/>
        <v/>
      </c>
      <c r="AP304" s="20" t="str">
        <f t="shared" si="152"/>
        <v/>
      </c>
      <c r="AQ304" s="20" t="str">
        <f t="shared" si="152"/>
        <v/>
      </c>
      <c r="AR304" s="20" t="str">
        <f t="shared" si="152"/>
        <v/>
      </c>
      <c r="AS304" s="20" t="str">
        <f t="shared" si="152"/>
        <v/>
      </c>
      <c r="AT304" s="20" t="str">
        <f t="shared" si="152"/>
        <v/>
      </c>
      <c r="AU304" s="20" t="str">
        <f t="shared" si="152"/>
        <v/>
      </c>
      <c r="AV304" s="20" t="str">
        <f t="shared" si="152"/>
        <v/>
      </c>
      <c r="AW304" s="20" t="str">
        <f t="shared" si="152"/>
        <v/>
      </c>
      <c r="AX304" s="20" t="str">
        <f t="shared" si="152"/>
        <v/>
      </c>
    </row>
    <row r="305" ht="39.75" customHeight="1">
      <c r="A305" s="13" t="str">
        <f>'Настройки'!B24</f>
        <v>Интерес команды</v>
      </c>
      <c r="B305" s="19" t="str">
        <f>IF(COUNT('Эксперт 4'!B29)=0,"",'Эксперт 4'!B29)</f>
        <v/>
      </c>
      <c r="C305" s="19" t="str">
        <f>IF(COUNT('Эксперт 4'!C29)=0,"",'Эксперт 4'!C29)</f>
        <v/>
      </c>
      <c r="D305" s="19" t="str">
        <f>IF(COUNT('Эксперт 4'!D29)=0,"",'Эксперт 4'!D29)</f>
        <v/>
      </c>
      <c r="E305" s="19">
        <f>IF(COUNT('Эксперт 4'!E29)=0,"",'Эксперт 4'!E29)</f>
        <v>1</v>
      </c>
      <c r="F305" s="19" t="str">
        <f t="shared" si="148"/>
        <v/>
      </c>
      <c r="G305" s="19" t="str">
        <f t="shared" si="149"/>
        <v/>
      </c>
      <c r="H305" s="20"/>
      <c r="I305" s="20"/>
      <c r="J305" s="20" t="str">
        <f t="shared" si="150"/>
        <v/>
      </c>
      <c r="K305" s="20" t="str">
        <f t="shared" ref="K305:AX305" si="153">IF(J305="","",($B305*J$302+$C305*J$303+$D305*J$304+$E305*J$305)/SUM(J$302:J$305))</f>
        <v/>
      </c>
      <c r="L305" s="20" t="str">
        <f t="shared" si="153"/>
        <v/>
      </c>
      <c r="M305" s="20" t="str">
        <f t="shared" si="153"/>
        <v/>
      </c>
      <c r="N305" s="20" t="str">
        <f t="shared" si="153"/>
        <v/>
      </c>
      <c r="O305" s="20" t="str">
        <f t="shared" si="153"/>
        <v/>
      </c>
      <c r="P305" s="20" t="str">
        <f t="shared" si="153"/>
        <v/>
      </c>
      <c r="Q305" s="20" t="str">
        <f t="shared" si="153"/>
        <v/>
      </c>
      <c r="R305" s="20" t="str">
        <f t="shared" si="153"/>
        <v/>
      </c>
      <c r="S305" s="20" t="str">
        <f t="shared" si="153"/>
        <v/>
      </c>
      <c r="T305" s="20" t="str">
        <f t="shared" si="153"/>
        <v/>
      </c>
      <c r="U305" s="20" t="str">
        <f t="shared" si="153"/>
        <v/>
      </c>
      <c r="V305" s="20" t="str">
        <f t="shared" si="153"/>
        <v/>
      </c>
      <c r="W305" s="20" t="str">
        <f t="shared" si="153"/>
        <v/>
      </c>
      <c r="X305" s="20" t="str">
        <f t="shared" si="153"/>
        <v/>
      </c>
      <c r="Y305" s="20" t="str">
        <f t="shared" si="153"/>
        <v/>
      </c>
      <c r="Z305" s="20" t="str">
        <f t="shared" si="153"/>
        <v/>
      </c>
      <c r="AA305" s="20" t="str">
        <f t="shared" si="153"/>
        <v/>
      </c>
      <c r="AB305" s="20" t="str">
        <f t="shared" si="153"/>
        <v/>
      </c>
      <c r="AC305" s="20" t="str">
        <f t="shared" si="153"/>
        <v/>
      </c>
      <c r="AD305" s="20" t="str">
        <f t="shared" si="153"/>
        <v/>
      </c>
      <c r="AE305" s="20" t="str">
        <f t="shared" si="153"/>
        <v/>
      </c>
      <c r="AF305" s="20" t="str">
        <f t="shared" si="153"/>
        <v/>
      </c>
      <c r="AG305" s="20" t="str">
        <f t="shared" si="153"/>
        <v/>
      </c>
      <c r="AH305" s="20" t="str">
        <f t="shared" si="153"/>
        <v/>
      </c>
      <c r="AI305" s="20" t="str">
        <f t="shared" si="153"/>
        <v/>
      </c>
      <c r="AJ305" s="20" t="str">
        <f t="shared" si="153"/>
        <v/>
      </c>
      <c r="AK305" s="20" t="str">
        <f t="shared" si="153"/>
        <v/>
      </c>
      <c r="AL305" s="20" t="str">
        <f t="shared" si="153"/>
        <v/>
      </c>
      <c r="AM305" s="20" t="str">
        <f t="shared" si="153"/>
        <v/>
      </c>
      <c r="AN305" s="20" t="str">
        <f t="shared" si="153"/>
        <v/>
      </c>
      <c r="AO305" s="20" t="str">
        <f t="shared" si="153"/>
        <v/>
      </c>
      <c r="AP305" s="20" t="str">
        <f t="shared" si="153"/>
        <v/>
      </c>
      <c r="AQ305" s="20" t="str">
        <f t="shared" si="153"/>
        <v/>
      </c>
      <c r="AR305" s="20" t="str">
        <f t="shared" si="153"/>
        <v/>
      </c>
      <c r="AS305" s="20" t="str">
        <f t="shared" si="153"/>
        <v/>
      </c>
      <c r="AT305" s="20" t="str">
        <f t="shared" si="153"/>
        <v/>
      </c>
      <c r="AU305" s="20" t="str">
        <f t="shared" si="153"/>
        <v/>
      </c>
      <c r="AV305" s="20" t="str">
        <f t="shared" si="153"/>
        <v/>
      </c>
      <c r="AW305" s="20" t="str">
        <f t="shared" si="153"/>
        <v/>
      </c>
      <c r="AX305" s="20" t="str">
        <f t="shared" si="153"/>
        <v/>
      </c>
    </row>
    <row r="306" ht="22.5" customHeight="1">
      <c r="A306" s="1"/>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row>
    <row r="307" ht="22.5" customHeight="1">
      <c r="A307" s="1" t="s">
        <v>281</v>
      </c>
      <c r="B307" s="20" t="s">
        <v>282</v>
      </c>
      <c r="C307" s="20" t="s">
        <v>283</v>
      </c>
      <c r="D307" s="20" t="s">
        <v>284</v>
      </c>
      <c r="E307" s="20" t="s">
        <v>285</v>
      </c>
      <c r="F307" s="20" t="s">
        <v>286</v>
      </c>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row>
    <row r="308" ht="22.5" customHeight="1">
      <c r="A308" s="1"/>
      <c r="B308" s="20" t="str">
        <f>IF(COUNT(C308)=0,"",C308/'Настройки'!$B$32)</f>
        <v/>
      </c>
      <c r="C308" s="20" t="str">
        <f>IF(D308="","",MAX(0,(D308-4)/3))</f>
        <v/>
      </c>
      <c r="D308" s="20" t="str">
        <f>IF(COUNT(G302:G305)&lt;4,"",AVERAGE(G302:G305))</f>
        <v/>
      </c>
      <c r="E308" s="20" t="str">
        <f>IF(D308="","",SUM(F302:F305))</f>
        <v/>
      </c>
      <c r="F308" s="20" t="str">
        <f>IF(D308="","",MAX(ABS((G302-$D$308)*F302),ABS((G303-$D$308)*F303),ABS((G304-$D$308)*F304),ABS((G305-$D$308)*F305)))</f>
        <v/>
      </c>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row>
    <row r="309" ht="22.5" customHeight="1">
      <c r="A309" s="1"/>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row>
    <row r="310" ht="22.5" customHeight="1">
      <c r="A310" s="1" t="str">
        <f>IF(COUNT(B308)=0,"Нет оценок",IF(F308&gt;0.00000001,"Недостаточная сходимость",IF(B308&lt;='Настройки'!$B$31,"Согласовано","Пересмотреть сравнения")))</f>
        <v>Нет оценок</v>
      </c>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row>
    <row r="311" ht="22.5" customHeight="1">
      <c r="A311" s="1"/>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row>
    <row r="312" ht="22.5" customHeight="1">
      <c r="A312" s="1"/>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row>
    <row r="313" ht="22.5" customHeight="1">
      <c r="A313" s="1"/>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row>
    <row r="314" ht="22.5" customHeight="1">
      <c r="A314" s="1" t="s">
        <v>314</v>
      </c>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row>
    <row r="315" ht="54.0" customHeight="1">
      <c r="A315" s="3" t="s">
        <v>279</v>
      </c>
      <c r="B315" s="21" t="str">
        <f>'Настройки'!B14</f>
        <v>Детейлинг-центр</v>
      </c>
      <c r="C315" s="21" t="str">
        <f>'Настройки'!B15</f>
        <v>Планировщик покупок</v>
      </c>
      <c r="D315" s="21" t="str">
        <f>'Настройки'!B16</f>
        <v>Концепция 3</v>
      </c>
      <c r="E315" s="21" t="str">
        <f>'Настройки'!B17</f>
        <v>Концепция 4</v>
      </c>
      <c r="F315" s="21" t="s">
        <v>274</v>
      </c>
      <c r="G315" s="21" t="s">
        <v>280</v>
      </c>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row>
    <row r="316" ht="39.75" customHeight="1">
      <c r="A316" s="13" t="str">
        <f>'Настройки'!B14</f>
        <v>Детейлинг-центр</v>
      </c>
      <c r="B316" s="19">
        <f>IF(COUNT('Эксперт 4'!B38)=0,"",'Эксперт 4'!B38)</f>
        <v>1</v>
      </c>
      <c r="C316" s="19" t="str">
        <f>IF(COUNT('Эксперт 4'!C38)=0,"",'Эксперт 4'!C38)</f>
        <v/>
      </c>
      <c r="D316" s="19" t="str">
        <f>IF(COUNT('Эксперт 4'!D38)=0,"",'Эксперт 4'!D38)</f>
        <v/>
      </c>
      <c r="E316" s="19" t="str">
        <f>IF(COUNT('Эксперт 4'!E38)=0,"",'Эксперт 4'!E38)</f>
        <v/>
      </c>
      <c r="F316" s="19" t="str">
        <f t="shared" ref="F316:F319" si="155">IF(AX316="","",AX316/SUM(AX$316:AX$319))</f>
        <v/>
      </c>
      <c r="G316" s="19" t="str">
        <f t="shared" ref="G316:G319" si="156">IF(F316="","",(B316*$F$316+C316*$F$317+D316*$F$318+E316*$F$319)/F316)</f>
        <v/>
      </c>
      <c r="H316" s="20"/>
      <c r="I316" s="20"/>
      <c r="J316" s="20" t="str">
        <f t="shared" ref="J316:J319" si="157">IF(COUNT($B$316:$E$319)&lt;16,"",1/4)</f>
        <v/>
      </c>
      <c r="K316" s="20" t="str">
        <f t="shared" ref="K316:AX316" si="154">IF(J316="","",($B316*J$316+$C316*J$317+$D316*J$318+$E316*J$319)/SUM(J$316:J$319))</f>
        <v/>
      </c>
      <c r="L316" s="20" t="str">
        <f t="shared" si="154"/>
        <v/>
      </c>
      <c r="M316" s="20" t="str">
        <f t="shared" si="154"/>
        <v/>
      </c>
      <c r="N316" s="20" t="str">
        <f t="shared" si="154"/>
        <v/>
      </c>
      <c r="O316" s="20" t="str">
        <f t="shared" si="154"/>
        <v/>
      </c>
      <c r="P316" s="20" t="str">
        <f t="shared" si="154"/>
        <v/>
      </c>
      <c r="Q316" s="20" t="str">
        <f t="shared" si="154"/>
        <v/>
      </c>
      <c r="R316" s="20" t="str">
        <f t="shared" si="154"/>
        <v/>
      </c>
      <c r="S316" s="20" t="str">
        <f t="shared" si="154"/>
        <v/>
      </c>
      <c r="T316" s="20" t="str">
        <f t="shared" si="154"/>
        <v/>
      </c>
      <c r="U316" s="20" t="str">
        <f t="shared" si="154"/>
        <v/>
      </c>
      <c r="V316" s="20" t="str">
        <f t="shared" si="154"/>
        <v/>
      </c>
      <c r="W316" s="20" t="str">
        <f t="shared" si="154"/>
        <v/>
      </c>
      <c r="X316" s="20" t="str">
        <f t="shared" si="154"/>
        <v/>
      </c>
      <c r="Y316" s="20" t="str">
        <f t="shared" si="154"/>
        <v/>
      </c>
      <c r="Z316" s="20" t="str">
        <f t="shared" si="154"/>
        <v/>
      </c>
      <c r="AA316" s="20" t="str">
        <f t="shared" si="154"/>
        <v/>
      </c>
      <c r="AB316" s="20" t="str">
        <f t="shared" si="154"/>
        <v/>
      </c>
      <c r="AC316" s="20" t="str">
        <f t="shared" si="154"/>
        <v/>
      </c>
      <c r="AD316" s="20" t="str">
        <f t="shared" si="154"/>
        <v/>
      </c>
      <c r="AE316" s="20" t="str">
        <f t="shared" si="154"/>
        <v/>
      </c>
      <c r="AF316" s="20" t="str">
        <f t="shared" si="154"/>
        <v/>
      </c>
      <c r="AG316" s="20" t="str">
        <f t="shared" si="154"/>
        <v/>
      </c>
      <c r="AH316" s="20" t="str">
        <f t="shared" si="154"/>
        <v/>
      </c>
      <c r="AI316" s="20" t="str">
        <f t="shared" si="154"/>
        <v/>
      </c>
      <c r="AJ316" s="20" t="str">
        <f t="shared" si="154"/>
        <v/>
      </c>
      <c r="AK316" s="20" t="str">
        <f t="shared" si="154"/>
        <v/>
      </c>
      <c r="AL316" s="20" t="str">
        <f t="shared" si="154"/>
        <v/>
      </c>
      <c r="AM316" s="20" t="str">
        <f t="shared" si="154"/>
        <v/>
      </c>
      <c r="AN316" s="20" t="str">
        <f t="shared" si="154"/>
        <v/>
      </c>
      <c r="AO316" s="20" t="str">
        <f t="shared" si="154"/>
        <v/>
      </c>
      <c r="AP316" s="20" t="str">
        <f t="shared" si="154"/>
        <v/>
      </c>
      <c r="AQ316" s="20" t="str">
        <f t="shared" si="154"/>
        <v/>
      </c>
      <c r="AR316" s="20" t="str">
        <f t="shared" si="154"/>
        <v/>
      </c>
      <c r="AS316" s="20" t="str">
        <f t="shared" si="154"/>
        <v/>
      </c>
      <c r="AT316" s="20" t="str">
        <f t="shared" si="154"/>
        <v/>
      </c>
      <c r="AU316" s="20" t="str">
        <f t="shared" si="154"/>
        <v/>
      </c>
      <c r="AV316" s="20" t="str">
        <f t="shared" si="154"/>
        <v/>
      </c>
      <c r="AW316" s="20" t="str">
        <f t="shared" si="154"/>
        <v/>
      </c>
      <c r="AX316" s="20" t="str">
        <f t="shared" si="154"/>
        <v/>
      </c>
    </row>
    <row r="317" ht="39.75" customHeight="1">
      <c r="A317" s="13" t="str">
        <f>'Настройки'!B15</f>
        <v>Планировщик покупок</v>
      </c>
      <c r="B317" s="19" t="str">
        <f>IF(COUNT('Эксперт 4'!B39)=0,"",'Эксперт 4'!B39)</f>
        <v/>
      </c>
      <c r="C317" s="19">
        <f>IF(COUNT('Эксперт 4'!C39)=0,"",'Эксперт 4'!C39)</f>
        <v>1</v>
      </c>
      <c r="D317" s="19" t="str">
        <f>IF(COUNT('Эксперт 4'!D39)=0,"",'Эксперт 4'!D39)</f>
        <v/>
      </c>
      <c r="E317" s="19" t="str">
        <f>IF(COUNT('Эксперт 4'!E39)=0,"",'Эксперт 4'!E39)</f>
        <v/>
      </c>
      <c r="F317" s="19" t="str">
        <f t="shared" si="155"/>
        <v/>
      </c>
      <c r="G317" s="19" t="str">
        <f t="shared" si="156"/>
        <v/>
      </c>
      <c r="H317" s="20"/>
      <c r="I317" s="20"/>
      <c r="J317" s="20" t="str">
        <f t="shared" si="157"/>
        <v/>
      </c>
      <c r="K317" s="20" t="str">
        <f t="shared" ref="K317:AX317" si="158">IF(J317="","",($B317*J$316+$C317*J$317+$D317*J$318+$E317*J$319)/SUM(J$316:J$319))</f>
        <v/>
      </c>
      <c r="L317" s="20" t="str">
        <f t="shared" si="158"/>
        <v/>
      </c>
      <c r="M317" s="20" t="str">
        <f t="shared" si="158"/>
        <v/>
      </c>
      <c r="N317" s="20" t="str">
        <f t="shared" si="158"/>
        <v/>
      </c>
      <c r="O317" s="20" t="str">
        <f t="shared" si="158"/>
        <v/>
      </c>
      <c r="P317" s="20" t="str">
        <f t="shared" si="158"/>
        <v/>
      </c>
      <c r="Q317" s="20" t="str">
        <f t="shared" si="158"/>
        <v/>
      </c>
      <c r="R317" s="20" t="str">
        <f t="shared" si="158"/>
        <v/>
      </c>
      <c r="S317" s="20" t="str">
        <f t="shared" si="158"/>
        <v/>
      </c>
      <c r="T317" s="20" t="str">
        <f t="shared" si="158"/>
        <v/>
      </c>
      <c r="U317" s="20" t="str">
        <f t="shared" si="158"/>
        <v/>
      </c>
      <c r="V317" s="20" t="str">
        <f t="shared" si="158"/>
        <v/>
      </c>
      <c r="W317" s="20" t="str">
        <f t="shared" si="158"/>
        <v/>
      </c>
      <c r="X317" s="20" t="str">
        <f t="shared" si="158"/>
        <v/>
      </c>
      <c r="Y317" s="20" t="str">
        <f t="shared" si="158"/>
        <v/>
      </c>
      <c r="Z317" s="20" t="str">
        <f t="shared" si="158"/>
        <v/>
      </c>
      <c r="AA317" s="20" t="str">
        <f t="shared" si="158"/>
        <v/>
      </c>
      <c r="AB317" s="20" t="str">
        <f t="shared" si="158"/>
        <v/>
      </c>
      <c r="AC317" s="20" t="str">
        <f t="shared" si="158"/>
        <v/>
      </c>
      <c r="AD317" s="20" t="str">
        <f t="shared" si="158"/>
        <v/>
      </c>
      <c r="AE317" s="20" t="str">
        <f t="shared" si="158"/>
        <v/>
      </c>
      <c r="AF317" s="20" t="str">
        <f t="shared" si="158"/>
        <v/>
      </c>
      <c r="AG317" s="20" t="str">
        <f t="shared" si="158"/>
        <v/>
      </c>
      <c r="AH317" s="20" t="str">
        <f t="shared" si="158"/>
        <v/>
      </c>
      <c r="AI317" s="20" t="str">
        <f t="shared" si="158"/>
        <v/>
      </c>
      <c r="AJ317" s="20" t="str">
        <f t="shared" si="158"/>
        <v/>
      </c>
      <c r="AK317" s="20" t="str">
        <f t="shared" si="158"/>
        <v/>
      </c>
      <c r="AL317" s="20" t="str">
        <f t="shared" si="158"/>
        <v/>
      </c>
      <c r="AM317" s="20" t="str">
        <f t="shared" si="158"/>
        <v/>
      </c>
      <c r="AN317" s="20" t="str">
        <f t="shared" si="158"/>
        <v/>
      </c>
      <c r="AO317" s="20" t="str">
        <f t="shared" si="158"/>
        <v/>
      </c>
      <c r="AP317" s="20" t="str">
        <f t="shared" si="158"/>
        <v/>
      </c>
      <c r="AQ317" s="20" t="str">
        <f t="shared" si="158"/>
        <v/>
      </c>
      <c r="AR317" s="20" t="str">
        <f t="shared" si="158"/>
        <v/>
      </c>
      <c r="AS317" s="20" t="str">
        <f t="shared" si="158"/>
        <v/>
      </c>
      <c r="AT317" s="20" t="str">
        <f t="shared" si="158"/>
        <v/>
      </c>
      <c r="AU317" s="20" t="str">
        <f t="shared" si="158"/>
        <v/>
      </c>
      <c r="AV317" s="20" t="str">
        <f t="shared" si="158"/>
        <v/>
      </c>
      <c r="AW317" s="20" t="str">
        <f t="shared" si="158"/>
        <v/>
      </c>
      <c r="AX317" s="20" t="str">
        <f t="shared" si="158"/>
        <v/>
      </c>
    </row>
    <row r="318" ht="39.75" customHeight="1">
      <c r="A318" s="13" t="str">
        <f>'Настройки'!B16</f>
        <v>Концепция 3</v>
      </c>
      <c r="B318" s="19" t="str">
        <f>IF(COUNT('Эксперт 4'!B40)=0,"",'Эксперт 4'!B40)</f>
        <v/>
      </c>
      <c r="C318" s="19" t="str">
        <f>IF(COUNT('Эксперт 4'!C40)=0,"",'Эксперт 4'!C40)</f>
        <v/>
      </c>
      <c r="D318" s="19">
        <f>IF(COUNT('Эксперт 4'!D40)=0,"",'Эксперт 4'!D40)</f>
        <v>1</v>
      </c>
      <c r="E318" s="19" t="str">
        <f>IF(COUNT('Эксперт 4'!E40)=0,"",'Эксперт 4'!E40)</f>
        <v/>
      </c>
      <c r="F318" s="19" t="str">
        <f t="shared" si="155"/>
        <v/>
      </c>
      <c r="G318" s="19" t="str">
        <f t="shared" si="156"/>
        <v/>
      </c>
      <c r="H318" s="20"/>
      <c r="I318" s="20"/>
      <c r="J318" s="20" t="str">
        <f t="shared" si="157"/>
        <v/>
      </c>
      <c r="K318" s="20" t="str">
        <f t="shared" ref="K318:AX318" si="159">IF(J318="","",($B318*J$316+$C318*J$317+$D318*J$318+$E318*J$319)/SUM(J$316:J$319))</f>
        <v/>
      </c>
      <c r="L318" s="20" t="str">
        <f t="shared" si="159"/>
        <v/>
      </c>
      <c r="M318" s="20" t="str">
        <f t="shared" si="159"/>
        <v/>
      </c>
      <c r="N318" s="20" t="str">
        <f t="shared" si="159"/>
        <v/>
      </c>
      <c r="O318" s="20" t="str">
        <f t="shared" si="159"/>
        <v/>
      </c>
      <c r="P318" s="20" t="str">
        <f t="shared" si="159"/>
        <v/>
      </c>
      <c r="Q318" s="20" t="str">
        <f t="shared" si="159"/>
        <v/>
      </c>
      <c r="R318" s="20" t="str">
        <f t="shared" si="159"/>
        <v/>
      </c>
      <c r="S318" s="20" t="str">
        <f t="shared" si="159"/>
        <v/>
      </c>
      <c r="T318" s="20" t="str">
        <f t="shared" si="159"/>
        <v/>
      </c>
      <c r="U318" s="20" t="str">
        <f t="shared" si="159"/>
        <v/>
      </c>
      <c r="V318" s="20" t="str">
        <f t="shared" si="159"/>
        <v/>
      </c>
      <c r="W318" s="20" t="str">
        <f t="shared" si="159"/>
        <v/>
      </c>
      <c r="X318" s="20" t="str">
        <f t="shared" si="159"/>
        <v/>
      </c>
      <c r="Y318" s="20" t="str">
        <f t="shared" si="159"/>
        <v/>
      </c>
      <c r="Z318" s="20" t="str">
        <f t="shared" si="159"/>
        <v/>
      </c>
      <c r="AA318" s="20" t="str">
        <f t="shared" si="159"/>
        <v/>
      </c>
      <c r="AB318" s="20" t="str">
        <f t="shared" si="159"/>
        <v/>
      </c>
      <c r="AC318" s="20" t="str">
        <f t="shared" si="159"/>
        <v/>
      </c>
      <c r="AD318" s="20" t="str">
        <f t="shared" si="159"/>
        <v/>
      </c>
      <c r="AE318" s="20" t="str">
        <f t="shared" si="159"/>
        <v/>
      </c>
      <c r="AF318" s="20" t="str">
        <f t="shared" si="159"/>
        <v/>
      </c>
      <c r="AG318" s="20" t="str">
        <f t="shared" si="159"/>
        <v/>
      </c>
      <c r="AH318" s="20" t="str">
        <f t="shared" si="159"/>
        <v/>
      </c>
      <c r="AI318" s="20" t="str">
        <f t="shared" si="159"/>
        <v/>
      </c>
      <c r="AJ318" s="20" t="str">
        <f t="shared" si="159"/>
        <v/>
      </c>
      <c r="AK318" s="20" t="str">
        <f t="shared" si="159"/>
        <v/>
      </c>
      <c r="AL318" s="20" t="str">
        <f t="shared" si="159"/>
        <v/>
      </c>
      <c r="AM318" s="20" t="str">
        <f t="shared" si="159"/>
        <v/>
      </c>
      <c r="AN318" s="20" t="str">
        <f t="shared" si="159"/>
        <v/>
      </c>
      <c r="AO318" s="20" t="str">
        <f t="shared" si="159"/>
        <v/>
      </c>
      <c r="AP318" s="20" t="str">
        <f t="shared" si="159"/>
        <v/>
      </c>
      <c r="AQ318" s="20" t="str">
        <f t="shared" si="159"/>
        <v/>
      </c>
      <c r="AR318" s="20" t="str">
        <f t="shared" si="159"/>
        <v/>
      </c>
      <c r="AS318" s="20" t="str">
        <f t="shared" si="159"/>
        <v/>
      </c>
      <c r="AT318" s="20" t="str">
        <f t="shared" si="159"/>
        <v/>
      </c>
      <c r="AU318" s="20" t="str">
        <f t="shared" si="159"/>
        <v/>
      </c>
      <c r="AV318" s="20" t="str">
        <f t="shared" si="159"/>
        <v/>
      </c>
      <c r="AW318" s="20" t="str">
        <f t="shared" si="159"/>
        <v/>
      </c>
      <c r="AX318" s="20" t="str">
        <f t="shared" si="159"/>
        <v/>
      </c>
    </row>
    <row r="319" ht="39.75" customHeight="1">
      <c r="A319" s="13" t="str">
        <f>'Настройки'!B17</f>
        <v>Концепция 4</v>
      </c>
      <c r="B319" s="19" t="str">
        <f>IF(COUNT('Эксперт 4'!B41)=0,"",'Эксперт 4'!B41)</f>
        <v/>
      </c>
      <c r="C319" s="19" t="str">
        <f>IF(COUNT('Эксперт 4'!C41)=0,"",'Эксперт 4'!C41)</f>
        <v/>
      </c>
      <c r="D319" s="19" t="str">
        <f>IF(COUNT('Эксперт 4'!D41)=0,"",'Эксперт 4'!D41)</f>
        <v/>
      </c>
      <c r="E319" s="19">
        <f>IF(COUNT('Эксперт 4'!E41)=0,"",'Эксперт 4'!E41)</f>
        <v>1</v>
      </c>
      <c r="F319" s="19" t="str">
        <f t="shared" si="155"/>
        <v/>
      </c>
      <c r="G319" s="19" t="str">
        <f t="shared" si="156"/>
        <v/>
      </c>
      <c r="H319" s="20"/>
      <c r="I319" s="20"/>
      <c r="J319" s="20" t="str">
        <f t="shared" si="157"/>
        <v/>
      </c>
      <c r="K319" s="20" t="str">
        <f t="shared" ref="K319:AX319" si="160">IF(J319="","",($B319*J$316+$C319*J$317+$D319*J$318+$E319*J$319)/SUM(J$316:J$319))</f>
        <v/>
      </c>
      <c r="L319" s="20" t="str">
        <f t="shared" si="160"/>
        <v/>
      </c>
      <c r="M319" s="20" t="str">
        <f t="shared" si="160"/>
        <v/>
      </c>
      <c r="N319" s="20" t="str">
        <f t="shared" si="160"/>
        <v/>
      </c>
      <c r="O319" s="20" t="str">
        <f t="shared" si="160"/>
        <v/>
      </c>
      <c r="P319" s="20" t="str">
        <f t="shared" si="160"/>
        <v/>
      </c>
      <c r="Q319" s="20" t="str">
        <f t="shared" si="160"/>
        <v/>
      </c>
      <c r="R319" s="20" t="str">
        <f t="shared" si="160"/>
        <v/>
      </c>
      <c r="S319" s="20" t="str">
        <f t="shared" si="160"/>
        <v/>
      </c>
      <c r="T319" s="20" t="str">
        <f t="shared" si="160"/>
        <v/>
      </c>
      <c r="U319" s="20" t="str">
        <f t="shared" si="160"/>
        <v/>
      </c>
      <c r="V319" s="20" t="str">
        <f t="shared" si="160"/>
        <v/>
      </c>
      <c r="W319" s="20" t="str">
        <f t="shared" si="160"/>
        <v/>
      </c>
      <c r="X319" s="20" t="str">
        <f t="shared" si="160"/>
        <v/>
      </c>
      <c r="Y319" s="20" t="str">
        <f t="shared" si="160"/>
        <v/>
      </c>
      <c r="Z319" s="20" t="str">
        <f t="shared" si="160"/>
        <v/>
      </c>
      <c r="AA319" s="20" t="str">
        <f t="shared" si="160"/>
        <v/>
      </c>
      <c r="AB319" s="20" t="str">
        <f t="shared" si="160"/>
        <v/>
      </c>
      <c r="AC319" s="20" t="str">
        <f t="shared" si="160"/>
        <v/>
      </c>
      <c r="AD319" s="20" t="str">
        <f t="shared" si="160"/>
        <v/>
      </c>
      <c r="AE319" s="20" t="str">
        <f t="shared" si="160"/>
        <v/>
      </c>
      <c r="AF319" s="20" t="str">
        <f t="shared" si="160"/>
        <v/>
      </c>
      <c r="AG319" s="20" t="str">
        <f t="shared" si="160"/>
        <v/>
      </c>
      <c r="AH319" s="20" t="str">
        <f t="shared" si="160"/>
        <v/>
      </c>
      <c r="AI319" s="20" t="str">
        <f t="shared" si="160"/>
        <v/>
      </c>
      <c r="AJ319" s="20" t="str">
        <f t="shared" si="160"/>
        <v/>
      </c>
      <c r="AK319" s="20" t="str">
        <f t="shared" si="160"/>
        <v/>
      </c>
      <c r="AL319" s="20" t="str">
        <f t="shared" si="160"/>
        <v/>
      </c>
      <c r="AM319" s="20" t="str">
        <f t="shared" si="160"/>
        <v/>
      </c>
      <c r="AN319" s="20" t="str">
        <f t="shared" si="160"/>
        <v/>
      </c>
      <c r="AO319" s="20" t="str">
        <f t="shared" si="160"/>
        <v/>
      </c>
      <c r="AP319" s="20" t="str">
        <f t="shared" si="160"/>
        <v/>
      </c>
      <c r="AQ319" s="20" t="str">
        <f t="shared" si="160"/>
        <v/>
      </c>
      <c r="AR319" s="20" t="str">
        <f t="shared" si="160"/>
        <v/>
      </c>
      <c r="AS319" s="20" t="str">
        <f t="shared" si="160"/>
        <v/>
      </c>
      <c r="AT319" s="20" t="str">
        <f t="shared" si="160"/>
        <v/>
      </c>
      <c r="AU319" s="20" t="str">
        <f t="shared" si="160"/>
        <v/>
      </c>
      <c r="AV319" s="20" t="str">
        <f t="shared" si="160"/>
        <v/>
      </c>
      <c r="AW319" s="20" t="str">
        <f t="shared" si="160"/>
        <v/>
      </c>
      <c r="AX319" s="20" t="str">
        <f t="shared" si="160"/>
        <v/>
      </c>
    </row>
    <row r="320" ht="22.5" customHeight="1">
      <c r="A320" s="1"/>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row>
    <row r="321" ht="22.5" customHeight="1">
      <c r="A321" s="1" t="s">
        <v>281</v>
      </c>
      <c r="B321" s="20" t="s">
        <v>282</v>
      </c>
      <c r="C321" s="20" t="s">
        <v>283</v>
      </c>
      <c r="D321" s="20" t="s">
        <v>284</v>
      </c>
      <c r="E321" s="20" t="s">
        <v>285</v>
      </c>
      <c r="F321" s="20" t="s">
        <v>286</v>
      </c>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row>
    <row r="322" ht="22.5" customHeight="1">
      <c r="A322" s="1"/>
      <c r="B322" s="20" t="str">
        <f>IF(COUNT(C322)=0,"",C322/'Настройки'!$B$32)</f>
        <v/>
      </c>
      <c r="C322" s="20" t="str">
        <f>IF(D322="","",MAX(0,(D322-4)/3))</f>
        <v/>
      </c>
      <c r="D322" s="20" t="str">
        <f>IF(COUNT(G316:G319)&lt;4,"",AVERAGE(G316:G319))</f>
        <v/>
      </c>
      <c r="E322" s="20" t="str">
        <f>IF(D322="","",SUM(F316:F319))</f>
        <v/>
      </c>
      <c r="F322" s="20" t="str">
        <f>IF(D322="","",MAX(ABS((G316-$D$322)*F316),ABS((G317-$D$322)*F317),ABS((G318-$D$322)*F318),ABS((G319-$D$322)*F319)))</f>
        <v/>
      </c>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row>
    <row r="323" ht="22.5" customHeight="1">
      <c r="A323" s="1"/>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row>
    <row r="324" ht="22.5" customHeight="1">
      <c r="A324" s="1" t="str">
        <f>IF(COUNT(B322)=0,"Нет оценок",IF(F322&gt;0.00000001,"Недостаточная сходимость",IF(B322&lt;='Настройки'!$B$31,"Согласовано","Пересмотреть сравнения")))</f>
        <v>Нет оценок</v>
      </c>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row>
    <row r="325" ht="22.5" customHeight="1">
      <c r="A325" s="1"/>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row>
    <row r="326" ht="22.5" customHeight="1">
      <c r="A326" s="1"/>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row>
    <row r="327" ht="22.5" customHeight="1">
      <c r="A327" s="1"/>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row>
    <row r="328" ht="22.5" customHeight="1">
      <c r="A328" s="1" t="s">
        <v>315</v>
      </c>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row>
    <row r="329" ht="54.0" customHeight="1">
      <c r="A329" s="3" t="s">
        <v>279</v>
      </c>
      <c r="B329" s="21" t="str">
        <f>'Настройки'!B14</f>
        <v>Детейлинг-центр</v>
      </c>
      <c r="C329" s="21" t="str">
        <f>'Настройки'!B15</f>
        <v>Планировщик покупок</v>
      </c>
      <c r="D329" s="21" t="str">
        <f>'Настройки'!B16</f>
        <v>Концепция 3</v>
      </c>
      <c r="E329" s="21" t="str">
        <f>'Настройки'!B17</f>
        <v>Концепция 4</v>
      </c>
      <c r="F329" s="21" t="s">
        <v>274</v>
      </c>
      <c r="G329" s="21" t="s">
        <v>280</v>
      </c>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row>
    <row r="330" ht="39.75" customHeight="1">
      <c r="A330" s="13" t="str">
        <f>'Настройки'!B14</f>
        <v>Детейлинг-центр</v>
      </c>
      <c r="B330" s="19">
        <f>IF(COUNT('Эксперт 4'!B50)=0,"",'Эксперт 4'!B50)</f>
        <v>1</v>
      </c>
      <c r="C330" s="19" t="str">
        <f>IF(COUNT('Эксперт 4'!C50)=0,"",'Эксперт 4'!C50)</f>
        <v/>
      </c>
      <c r="D330" s="19" t="str">
        <f>IF(COUNT('Эксперт 4'!D50)=0,"",'Эксперт 4'!D50)</f>
        <v/>
      </c>
      <c r="E330" s="19" t="str">
        <f>IF(COUNT('Эксперт 4'!E50)=0,"",'Эксперт 4'!E50)</f>
        <v/>
      </c>
      <c r="F330" s="19" t="str">
        <f t="shared" ref="F330:F333" si="162">IF(AX330="","",AX330/SUM(AX$330:AX$333))</f>
        <v/>
      </c>
      <c r="G330" s="19" t="str">
        <f t="shared" ref="G330:G333" si="163">IF(F330="","",(B330*$F$330+C330*$F$331+D330*$F$332+E330*$F$333)/F330)</f>
        <v/>
      </c>
      <c r="H330" s="20"/>
      <c r="I330" s="20"/>
      <c r="J330" s="20" t="str">
        <f t="shared" ref="J330:J333" si="164">IF(COUNT($B$330:$E$333)&lt;16,"",1/4)</f>
        <v/>
      </c>
      <c r="K330" s="20" t="str">
        <f t="shared" ref="K330:AX330" si="161">IF(J330="","",($B330*J$330+$C330*J$331+$D330*J$332+$E330*J$333)/SUM(J$330:J$333))</f>
        <v/>
      </c>
      <c r="L330" s="20" t="str">
        <f t="shared" si="161"/>
        <v/>
      </c>
      <c r="M330" s="20" t="str">
        <f t="shared" si="161"/>
        <v/>
      </c>
      <c r="N330" s="20" t="str">
        <f t="shared" si="161"/>
        <v/>
      </c>
      <c r="O330" s="20" t="str">
        <f t="shared" si="161"/>
        <v/>
      </c>
      <c r="P330" s="20" t="str">
        <f t="shared" si="161"/>
        <v/>
      </c>
      <c r="Q330" s="20" t="str">
        <f t="shared" si="161"/>
        <v/>
      </c>
      <c r="R330" s="20" t="str">
        <f t="shared" si="161"/>
        <v/>
      </c>
      <c r="S330" s="20" t="str">
        <f t="shared" si="161"/>
        <v/>
      </c>
      <c r="T330" s="20" t="str">
        <f t="shared" si="161"/>
        <v/>
      </c>
      <c r="U330" s="20" t="str">
        <f t="shared" si="161"/>
        <v/>
      </c>
      <c r="V330" s="20" t="str">
        <f t="shared" si="161"/>
        <v/>
      </c>
      <c r="W330" s="20" t="str">
        <f t="shared" si="161"/>
        <v/>
      </c>
      <c r="X330" s="20" t="str">
        <f t="shared" si="161"/>
        <v/>
      </c>
      <c r="Y330" s="20" t="str">
        <f t="shared" si="161"/>
        <v/>
      </c>
      <c r="Z330" s="20" t="str">
        <f t="shared" si="161"/>
        <v/>
      </c>
      <c r="AA330" s="20" t="str">
        <f t="shared" si="161"/>
        <v/>
      </c>
      <c r="AB330" s="20" t="str">
        <f t="shared" si="161"/>
        <v/>
      </c>
      <c r="AC330" s="20" t="str">
        <f t="shared" si="161"/>
        <v/>
      </c>
      <c r="AD330" s="20" t="str">
        <f t="shared" si="161"/>
        <v/>
      </c>
      <c r="AE330" s="20" t="str">
        <f t="shared" si="161"/>
        <v/>
      </c>
      <c r="AF330" s="20" t="str">
        <f t="shared" si="161"/>
        <v/>
      </c>
      <c r="AG330" s="20" t="str">
        <f t="shared" si="161"/>
        <v/>
      </c>
      <c r="AH330" s="20" t="str">
        <f t="shared" si="161"/>
        <v/>
      </c>
      <c r="AI330" s="20" t="str">
        <f t="shared" si="161"/>
        <v/>
      </c>
      <c r="AJ330" s="20" t="str">
        <f t="shared" si="161"/>
        <v/>
      </c>
      <c r="AK330" s="20" t="str">
        <f t="shared" si="161"/>
        <v/>
      </c>
      <c r="AL330" s="20" t="str">
        <f t="shared" si="161"/>
        <v/>
      </c>
      <c r="AM330" s="20" t="str">
        <f t="shared" si="161"/>
        <v/>
      </c>
      <c r="AN330" s="20" t="str">
        <f t="shared" si="161"/>
        <v/>
      </c>
      <c r="AO330" s="20" t="str">
        <f t="shared" si="161"/>
        <v/>
      </c>
      <c r="AP330" s="20" t="str">
        <f t="shared" si="161"/>
        <v/>
      </c>
      <c r="AQ330" s="20" t="str">
        <f t="shared" si="161"/>
        <v/>
      </c>
      <c r="AR330" s="20" t="str">
        <f t="shared" si="161"/>
        <v/>
      </c>
      <c r="AS330" s="20" t="str">
        <f t="shared" si="161"/>
        <v/>
      </c>
      <c r="AT330" s="20" t="str">
        <f t="shared" si="161"/>
        <v/>
      </c>
      <c r="AU330" s="20" t="str">
        <f t="shared" si="161"/>
        <v/>
      </c>
      <c r="AV330" s="20" t="str">
        <f t="shared" si="161"/>
        <v/>
      </c>
      <c r="AW330" s="20" t="str">
        <f t="shared" si="161"/>
        <v/>
      </c>
      <c r="AX330" s="20" t="str">
        <f t="shared" si="161"/>
        <v/>
      </c>
    </row>
    <row r="331" ht="39.75" customHeight="1">
      <c r="A331" s="13" t="str">
        <f>'Настройки'!B15</f>
        <v>Планировщик покупок</v>
      </c>
      <c r="B331" s="19" t="str">
        <f>IF(COUNT('Эксперт 4'!B51)=0,"",'Эксперт 4'!B51)</f>
        <v/>
      </c>
      <c r="C331" s="19">
        <f>IF(COUNT('Эксперт 4'!C51)=0,"",'Эксперт 4'!C51)</f>
        <v>1</v>
      </c>
      <c r="D331" s="19" t="str">
        <f>IF(COUNT('Эксперт 4'!D51)=0,"",'Эксперт 4'!D51)</f>
        <v/>
      </c>
      <c r="E331" s="19" t="str">
        <f>IF(COUNT('Эксперт 4'!E51)=0,"",'Эксперт 4'!E51)</f>
        <v/>
      </c>
      <c r="F331" s="19" t="str">
        <f t="shared" si="162"/>
        <v/>
      </c>
      <c r="G331" s="19" t="str">
        <f t="shared" si="163"/>
        <v/>
      </c>
      <c r="H331" s="20"/>
      <c r="I331" s="20"/>
      <c r="J331" s="20" t="str">
        <f t="shared" si="164"/>
        <v/>
      </c>
      <c r="K331" s="20" t="str">
        <f t="shared" ref="K331:AX331" si="165">IF(J331="","",($B331*J$330+$C331*J$331+$D331*J$332+$E331*J$333)/SUM(J$330:J$333))</f>
        <v/>
      </c>
      <c r="L331" s="20" t="str">
        <f t="shared" si="165"/>
        <v/>
      </c>
      <c r="M331" s="20" t="str">
        <f t="shared" si="165"/>
        <v/>
      </c>
      <c r="N331" s="20" t="str">
        <f t="shared" si="165"/>
        <v/>
      </c>
      <c r="O331" s="20" t="str">
        <f t="shared" si="165"/>
        <v/>
      </c>
      <c r="P331" s="20" t="str">
        <f t="shared" si="165"/>
        <v/>
      </c>
      <c r="Q331" s="20" t="str">
        <f t="shared" si="165"/>
        <v/>
      </c>
      <c r="R331" s="20" t="str">
        <f t="shared" si="165"/>
        <v/>
      </c>
      <c r="S331" s="20" t="str">
        <f t="shared" si="165"/>
        <v/>
      </c>
      <c r="T331" s="20" t="str">
        <f t="shared" si="165"/>
        <v/>
      </c>
      <c r="U331" s="20" t="str">
        <f t="shared" si="165"/>
        <v/>
      </c>
      <c r="V331" s="20" t="str">
        <f t="shared" si="165"/>
        <v/>
      </c>
      <c r="W331" s="20" t="str">
        <f t="shared" si="165"/>
        <v/>
      </c>
      <c r="X331" s="20" t="str">
        <f t="shared" si="165"/>
        <v/>
      </c>
      <c r="Y331" s="20" t="str">
        <f t="shared" si="165"/>
        <v/>
      </c>
      <c r="Z331" s="20" t="str">
        <f t="shared" si="165"/>
        <v/>
      </c>
      <c r="AA331" s="20" t="str">
        <f t="shared" si="165"/>
        <v/>
      </c>
      <c r="AB331" s="20" t="str">
        <f t="shared" si="165"/>
        <v/>
      </c>
      <c r="AC331" s="20" t="str">
        <f t="shared" si="165"/>
        <v/>
      </c>
      <c r="AD331" s="20" t="str">
        <f t="shared" si="165"/>
        <v/>
      </c>
      <c r="AE331" s="20" t="str">
        <f t="shared" si="165"/>
        <v/>
      </c>
      <c r="AF331" s="20" t="str">
        <f t="shared" si="165"/>
        <v/>
      </c>
      <c r="AG331" s="20" t="str">
        <f t="shared" si="165"/>
        <v/>
      </c>
      <c r="AH331" s="20" t="str">
        <f t="shared" si="165"/>
        <v/>
      </c>
      <c r="AI331" s="20" t="str">
        <f t="shared" si="165"/>
        <v/>
      </c>
      <c r="AJ331" s="20" t="str">
        <f t="shared" si="165"/>
        <v/>
      </c>
      <c r="AK331" s="20" t="str">
        <f t="shared" si="165"/>
        <v/>
      </c>
      <c r="AL331" s="20" t="str">
        <f t="shared" si="165"/>
        <v/>
      </c>
      <c r="AM331" s="20" t="str">
        <f t="shared" si="165"/>
        <v/>
      </c>
      <c r="AN331" s="20" t="str">
        <f t="shared" si="165"/>
        <v/>
      </c>
      <c r="AO331" s="20" t="str">
        <f t="shared" si="165"/>
        <v/>
      </c>
      <c r="AP331" s="20" t="str">
        <f t="shared" si="165"/>
        <v/>
      </c>
      <c r="AQ331" s="20" t="str">
        <f t="shared" si="165"/>
        <v/>
      </c>
      <c r="AR331" s="20" t="str">
        <f t="shared" si="165"/>
        <v/>
      </c>
      <c r="AS331" s="20" t="str">
        <f t="shared" si="165"/>
        <v/>
      </c>
      <c r="AT331" s="20" t="str">
        <f t="shared" si="165"/>
        <v/>
      </c>
      <c r="AU331" s="20" t="str">
        <f t="shared" si="165"/>
        <v/>
      </c>
      <c r="AV331" s="20" t="str">
        <f t="shared" si="165"/>
        <v/>
      </c>
      <c r="AW331" s="20" t="str">
        <f t="shared" si="165"/>
        <v/>
      </c>
      <c r="AX331" s="20" t="str">
        <f t="shared" si="165"/>
        <v/>
      </c>
    </row>
    <row r="332" ht="39.75" customHeight="1">
      <c r="A332" s="13" t="str">
        <f>'Настройки'!B16</f>
        <v>Концепция 3</v>
      </c>
      <c r="B332" s="19" t="str">
        <f>IF(COUNT('Эксперт 4'!B52)=0,"",'Эксперт 4'!B52)</f>
        <v/>
      </c>
      <c r="C332" s="19" t="str">
        <f>IF(COUNT('Эксперт 4'!C52)=0,"",'Эксперт 4'!C52)</f>
        <v/>
      </c>
      <c r="D332" s="19">
        <f>IF(COUNT('Эксперт 4'!D52)=0,"",'Эксперт 4'!D52)</f>
        <v>1</v>
      </c>
      <c r="E332" s="19" t="str">
        <f>IF(COUNT('Эксперт 4'!E52)=0,"",'Эксперт 4'!E52)</f>
        <v/>
      </c>
      <c r="F332" s="19" t="str">
        <f t="shared" si="162"/>
        <v/>
      </c>
      <c r="G332" s="19" t="str">
        <f t="shared" si="163"/>
        <v/>
      </c>
      <c r="H332" s="20"/>
      <c r="I332" s="20"/>
      <c r="J332" s="20" t="str">
        <f t="shared" si="164"/>
        <v/>
      </c>
      <c r="K332" s="20" t="str">
        <f t="shared" ref="K332:AX332" si="166">IF(J332="","",($B332*J$330+$C332*J$331+$D332*J$332+$E332*J$333)/SUM(J$330:J$333))</f>
        <v/>
      </c>
      <c r="L332" s="20" t="str">
        <f t="shared" si="166"/>
        <v/>
      </c>
      <c r="M332" s="20" t="str">
        <f t="shared" si="166"/>
        <v/>
      </c>
      <c r="N332" s="20" t="str">
        <f t="shared" si="166"/>
        <v/>
      </c>
      <c r="O332" s="20" t="str">
        <f t="shared" si="166"/>
        <v/>
      </c>
      <c r="P332" s="20" t="str">
        <f t="shared" si="166"/>
        <v/>
      </c>
      <c r="Q332" s="20" t="str">
        <f t="shared" si="166"/>
        <v/>
      </c>
      <c r="R332" s="20" t="str">
        <f t="shared" si="166"/>
        <v/>
      </c>
      <c r="S332" s="20" t="str">
        <f t="shared" si="166"/>
        <v/>
      </c>
      <c r="T332" s="20" t="str">
        <f t="shared" si="166"/>
        <v/>
      </c>
      <c r="U332" s="20" t="str">
        <f t="shared" si="166"/>
        <v/>
      </c>
      <c r="V332" s="20" t="str">
        <f t="shared" si="166"/>
        <v/>
      </c>
      <c r="W332" s="20" t="str">
        <f t="shared" si="166"/>
        <v/>
      </c>
      <c r="X332" s="20" t="str">
        <f t="shared" si="166"/>
        <v/>
      </c>
      <c r="Y332" s="20" t="str">
        <f t="shared" si="166"/>
        <v/>
      </c>
      <c r="Z332" s="20" t="str">
        <f t="shared" si="166"/>
        <v/>
      </c>
      <c r="AA332" s="20" t="str">
        <f t="shared" si="166"/>
        <v/>
      </c>
      <c r="AB332" s="20" t="str">
        <f t="shared" si="166"/>
        <v/>
      </c>
      <c r="AC332" s="20" t="str">
        <f t="shared" si="166"/>
        <v/>
      </c>
      <c r="AD332" s="20" t="str">
        <f t="shared" si="166"/>
        <v/>
      </c>
      <c r="AE332" s="20" t="str">
        <f t="shared" si="166"/>
        <v/>
      </c>
      <c r="AF332" s="20" t="str">
        <f t="shared" si="166"/>
        <v/>
      </c>
      <c r="AG332" s="20" t="str">
        <f t="shared" si="166"/>
        <v/>
      </c>
      <c r="AH332" s="20" t="str">
        <f t="shared" si="166"/>
        <v/>
      </c>
      <c r="AI332" s="20" t="str">
        <f t="shared" si="166"/>
        <v/>
      </c>
      <c r="AJ332" s="20" t="str">
        <f t="shared" si="166"/>
        <v/>
      </c>
      <c r="AK332" s="20" t="str">
        <f t="shared" si="166"/>
        <v/>
      </c>
      <c r="AL332" s="20" t="str">
        <f t="shared" si="166"/>
        <v/>
      </c>
      <c r="AM332" s="20" t="str">
        <f t="shared" si="166"/>
        <v/>
      </c>
      <c r="AN332" s="20" t="str">
        <f t="shared" si="166"/>
        <v/>
      </c>
      <c r="AO332" s="20" t="str">
        <f t="shared" si="166"/>
        <v/>
      </c>
      <c r="AP332" s="20" t="str">
        <f t="shared" si="166"/>
        <v/>
      </c>
      <c r="AQ332" s="20" t="str">
        <f t="shared" si="166"/>
        <v/>
      </c>
      <c r="AR332" s="20" t="str">
        <f t="shared" si="166"/>
        <v/>
      </c>
      <c r="AS332" s="20" t="str">
        <f t="shared" si="166"/>
        <v/>
      </c>
      <c r="AT332" s="20" t="str">
        <f t="shared" si="166"/>
        <v/>
      </c>
      <c r="AU332" s="20" t="str">
        <f t="shared" si="166"/>
        <v/>
      </c>
      <c r="AV332" s="20" t="str">
        <f t="shared" si="166"/>
        <v/>
      </c>
      <c r="AW332" s="20" t="str">
        <f t="shared" si="166"/>
        <v/>
      </c>
      <c r="AX332" s="20" t="str">
        <f t="shared" si="166"/>
        <v/>
      </c>
    </row>
    <row r="333" ht="39.75" customHeight="1">
      <c r="A333" s="13" t="str">
        <f>'Настройки'!B17</f>
        <v>Концепция 4</v>
      </c>
      <c r="B333" s="19" t="str">
        <f>IF(COUNT('Эксперт 4'!B53)=0,"",'Эксперт 4'!B53)</f>
        <v/>
      </c>
      <c r="C333" s="19" t="str">
        <f>IF(COUNT('Эксперт 4'!C53)=0,"",'Эксперт 4'!C53)</f>
        <v/>
      </c>
      <c r="D333" s="19" t="str">
        <f>IF(COUNT('Эксперт 4'!D53)=0,"",'Эксперт 4'!D53)</f>
        <v/>
      </c>
      <c r="E333" s="19">
        <f>IF(COUNT('Эксперт 4'!E53)=0,"",'Эксперт 4'!E53)</f>
        <v>1</v>
      </c>
      <c r="F333" s="19" t="str">
        <f t="shared" si="162"/>
        <v/>
      </c>
      <c r="G333" s="19" t="str">
        <f t="shared" si="163"/>
        <v/>
      </c>
      <c r="H333" s="20"/>
      <c r="I333" s="20"/>
      <c r="J333" s="20" t="str">
        <f t="shared" si="164"/>
        <v/>
      </c>
      <c r="K333" s="20" t="str">
        <f t="shared" ref="K333:AX333" si="167">IF(J333="","",($B333*J$330+$C333*J$331+$D333*J$332+$E333*J$333)/SUM(J$330:J$333))</f>
        <v/>
      </c>
      <c r="L333" s="20" t="str">
        <f t="shared" si="167"/>
        <v/>
      </c>
      <c r="M333" s="20" t="str">
        <f t="shared" si="167"/>
        <v/>
      </c>
      <c r="N333" s="20" t="str">
        <f t="shared" si="167"/>
        <v/>
      </c>
      <c r="O333" s="20" t="str">
        <f t="shared" si="167"/>
        <v/>
      </c>
      <c r="P333" s="20" t="str">
        <f t="shared" si="167"/>
        <v/>
      </c>
      <c r="Q333" s="20" t="str">
        <f t="shared" si="167"/>
        <v/>
      </c>
      <c r="R333" s="20" t="str">
        <f t="shared" si="167"/>
        <v/>
      </c>
      <c r="S333" s="20" t="str">
        <f t="shared" si="167"/>
        <v/>
      </c>
      <c r="T333" s="20" t="str">
        <f t="shared" si="167"/>
        <v/>
      </c>
      <c r="U333" s="20" t="str">
        <f t="shared" si="167"/>
        <v/>
      </c>
      <c r="V333" s="20" t="str">
        <f t="shared" si="167"/>
        <v/>
      </c>
      <c r="W333" s="20" t="str">
        <f t="shared" si="167"/>
        <v/>
      </c>
      <c r="X333" s="20" t="str">
        <f t="shared" si="167"/>
        <v/>
      </c>
      <c r="Y333" s="20" t="str">
        <f t="shared" si="167"/>
        <v/>
      </c>
      <c r="Z333" s="20" t="str">
        <f t="shared" si="167"/>
        <v/>
      </c>
      <c r="AA333" s="20" t="str">
        <f t="shared" si="167"/>
        <v/>
      </c>
      <c r="AB333" s="20" t="str">
        <f t="shared" si="167"/>
        <v/>
      </c>
      <c r="AC333" s="20" t="str">
        <f t="shared" si="167"/>
        <v/>
      </c>
      <c r="AD333" s="20" t="str">
        <f t="shared" si="167"/>
        <v/>
      </c>
      <c r="AE333" s="20" t="str">
        <f t="shared" si="167"/>
        <v/>
      </c>
      <c r="AF333" s="20" t="str">
        <f t="shared" si="167"/>
        <v/>
      </c>
      <c r="AG333" s="20" t="str">
        <f t="shared" si="167"/>
        <v/>
      </c>
      <c r="AH333" s="20" t="str">
        <f t="shared" si="167"/>
        <v/>
      </c>
      <c r="AI333" s="20" t="str">
        <f t="shared" si="167"/>
        <v/>
      </c>
      <c r="AJ333" s="20" t="str">
        <f t="shared" si="167"/>
        <v/>
      </c>
      <c r="AK333" s="20" t="str">
        <f t="shared" si="167"/>
        <v/>
      </c>
      <c r="AL333" s="20" t="str">
        <f t="shared" si="167"/>
        <v/>
      </c>
      <c r="AM333" s="20" t="str">
        <f t="shared" si="167"/>
        <v/>
      </c>
      <c r="AN333" s="20" t="str">
        <f t="shared" si="167"/>
        <v/>
      </c>
      <c r="AO333" s="20" t="str">
        <f t="shared" si="167"/>
        <v/>
      </c>
      <c r="AP333" s="20" t="str">
        <f t="shared" si="167"/>
        <v/>
      </c>
      <c r="AQ333" s="20" t="str">
        <f t="shared" si="167"/>
        <v/>
      </c>
      <c r="AR333" s="20" t="str">
        <f t="shared" si="167"/>
        <v/>
      </c>
      <c r="AS333" s="20" t="str">
        <f t="shared" si="167"/>
        <v/>
      </c>
      <c r="AT333" s="20" t="str">
        <f t="shared" si="167"/>
        <v/>
      </c>
      <c r="AU333" s="20" t="str">
        <f t="shared" si="167"/>
        <v/>
      </c>
      <c r="AV333" s="20" t="str">
        <f t="shared" si="167"/>
        <v/>
      </c>
      <c r="AW333" s="20" t="str">
        <f t="shared" si="167"/>
        <v/>
      </c>
      <c r="AX333" s="20" t="str">
        <f t="shared" si="167"/>
        <v/>
      </c>
    </row>
    <row r="334" ht="22.5" customHeight="1">
      <c r="A334" s="1"/>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row>
    <row r="335" ht="22.5" customHeight="1">
      <c r="A335" s="1" t="s">
        <v>281</v>
      </c>
      <c r="B335" s="20" t="s">
        <v>282</v>
      </c>
      <c r="C335" s="20" t="s">
        <v>283</v>
      </c>
      <c r="D335" s="20" t="s">
        <v>284</v>
      </c>
      <c r="E335" s="20" t="s">
        <v>285</v>
      </c>
      <c r="F335" s="20" t="s">
        <v>286</v>
      </c>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row>
    <row r="336" ht="22.5" customHeight="1">
      <c r="A336" s="1"/>
      <c r="B336" s="20" t="str">
        <f>IF(COUNT(C336)=0,"",C336/'Настройки'!$B$32)</f>
        <v/>
      </c>
      <c r="C336" s="20" t="str">
        <f>IF(D336="","",MAX(0,(D336-4)/3))</f>
        <v/>
      </c>
      <c r="D336" s="20" t="str">
        <f>IF(COUNT(G330:G333)&lt;4,"",AVERAGE(G330:G333))</f>
        <v/>
      </c>
      <c r="E336" s="20" t="str">
        <f>IF(D336="","",SUM(F330:F333))</f>
        <v/>
      </c>
      <c r="F336" s="20" t="str">
        <f>IF(D336="","",MAX(ABS((G330-$D$336)*F330),ABS((G331-$D$336)*F331),ABS((G332-$D$336)*F332),ABS((G333-$D$336)*F333)))</f>
        <v/>
      </c>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row>
    <row r="337" ht="22.5" customHeight="1">
      <c r="A337" s="1"/>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row>
    <row r="338" ht="22.5" customHeight="1">
      <c r="A338" s="1" t="str">
        <f>IF(COUNT(B336)=0,"Нет оценок",IF(F336&gt;0.00000001,"Недостаточная сходимость",IF(B336&lt;='Настройки'!$B$31,"Согласовано","Пересмотреть сравнения")))</f>
        <v>Нет оценок</v>
      </c>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row>
    <row r="339" ht="22.5" customHeight="1">
      <c r="A339" s="1"/>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row>
    <row r="340" ht="22.5" customHeight="1">
      <c r="A340" s="1"/>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row>
    <row r="341" ht="22.5" customHeight="1">
      <c r="A341" s="1"/>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row>
    <row r="342" ht="22.5" customHeight="1">
      <c r="A342" s="1" t="s">
        <v>316</v>
      </c>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row>
    <row r="343" ht="54.0" customHeight="1">
      <c r="A343" s="3" t="s">
        <v>279</v>
      </c>
      <c r="B343" s="21" t="str">
        <f>'Настройки'!B14</f>
        <v>Детейлинг-центр</v>
      </c>
      <c r="C343" s="21" t="str">
        <f>'Настройки'!B15</f>
        <v>Планировщик покупок</v>
      </c>
      <c r="D343" s="21" t="str">
        <f>'Настройки'!B16</f>
        <v>Концепция 3</v>
      </c>
      <c r="E343" s="21" t="str">
        <f>'Настройки'!B17</f>
        <v>Концепция 4</v>
      </c>
      <c r="F343" s="21" t="s">
        <v>274</v>
      </c>
      <c r="G343" s="21" t="s">
        <v>280</v>
      </c>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row>
    <row r="344" ht="39.75" customHeight="1">
      <c r="A344" s="13" t="str">
        <f>'Настройки'!B14</f>
        <v>Детейлинг-центр</v>
      </c>
      <c r="B344" s="19">
        <f>IF(COUNT('Эксперт 4'!B62)=0,"",'Эксперт 4'!B62)</f>
        <v>1</v>
      </c>
      <c r="C344" s="19" t="str">
        <f>IF(COUNT('Эксперт 4'!C62)=0,"",'Эксперт 4'!C62)</f>
        <v/>
      </c>
      <c r="D344" s="19" t="str">
        <f>IF(COUNT('Эксперт 4'!D62)=0,"",'Эксперт 4'!D62)</f>
        <v/>
      </c>
      <c r="E344" s="19" t="str">
        <f>IF(COUNT('Эксперт 4'!E62)=0,"",'Эксперт 4'!E62)</f>
        <v/>
      </c>
      <c r="F344" s="19" t="str">
        <f t="shared" ref="F344:F347" si="169">IF(AX344="","",AX344/SUM(AX$344:AX$347))</f>
        <v/>
      </c>
      <c r="G344" s="19" t="str">
        <f t="shared" ref="G344:G347" si="170">IF(F344="","",(B344*$F$344+C344*$F$345+D344*$F$346+E344*$F$347)/F344)</f>
        <v/>
      </c>
      <c r="H344" s="20"/>
      <c r="I344" s="20"/>
      <c r="J344" s="20" t="str">
        <f t="shared" ref="J344:J347" si="171">IF(COUNT($B$344:$E$347)&lt;16,"",1/4)</f>
        <v/>
      </c>
      <c r="K344" s="20" t="str">
        <f t="shared" ref="K344:AX344" si="168">IF(J344="","",($B344*J$344+$C344*J$345+$D344*J$346+$E344*J$347)/SUM(J$344:J$347))</f>
        <v/>
      </c>
      <c r="L344" s="20" t="str">
        <f t="shared" si="168"/>
        <v/>
      </c>
      <c r="M344" s="20" t="str">
        <f t="shared" si="168"/>
        <v/>
      </c>
      <c r="N344" s="20" t="str">
        <f t="shared" si="168"/>
        <v/>
      </c>
      <c r="O344" s="20" t="str">
        <f t="shared" si="168"/>
        <v/>
      </c>
      <c r="P344" s="20" t="str">
        <f t="shared" si="168"/>
        <v/>
      </c>
      <c r="Q344" s="20" t="str">
        <f t="shared" si="168"/>
        <v/>
      </c>
      <c r="R344" s="20" t="str">
        <f t="shared" si="168"/>
        <v/>
      </c>
      <c r="S344" s="20" t="str">
        <f t="shared" si="168"/>
        <v/>
      </c>
      <c r="T344" s="20" t="str">
        <f t="shared" si="168"/>
        <v/>
      </c>
      <c r="U344" s="20" t="str">
        <f t="shared" si="168"/>
        <v/>
      </c>
      <c r="V344" s="20" t="str">
        <f t="shared" si="168"/>
        <v/>
      </c>
      <c r="W344" s="20" t="str">
        <f t="shared" si="168"/>
        <v/>
      </c>
      <c r="X344" s="20" t="str">
        <f t="shared" si="168"/>
        <v/>
      </c>
      <c r="Y344" s="20" t="str">
        <f t="shared" si="168"/>
        <v/>
      </c>
      <c r="Z344" s="20" t="str">
        <f t="shared" si="168"/>
        <v/>
      </c>
      <c r="AA344" s="20" t="str">
        <f t="shared" si="168"/>
        <v/>
      </c>
      <c r="AB344" s="20" t="str">
        <f t="shared" si="168"/>
        <v/>
      </c>
      <c r="AC344" s="20" t="str">
        <f t="shared" si="168"/>
        <v/>
      </c>
      <c r="AD344" s="20" t="str">
        <f t="shared" si="168"/>
        <v/>
      </c>
      <c r="AE344" s="20" t="str">
        <f t="shared" si="168"/>
        <v/>
      </c>
      <c r="AF344" s="20" t="str">
        <f t="shared" si="168"/>
        <v/>
      </c>
      <c r="AG344" s="20" t="str">
        <f t="shared" si="168"/>
        <v/>
      </c>
      <c r="AH344" s="20" t="str">
        <f t="shared" si="168"/>
        <v/>
      </c>
      <c r="AI344" s="20" t="str">
        <f t="shared" si="168"/>
        <v/>
      </c>
      <c r="AJ344" s="20" t="str">
        <f t="shared" si="168"/>
        <v/>
      </c>
      <c r="AK344" s="20" t="str">
        <f t="shared" si="168"/>
        <v/>
      </c>
      <c r="AL344" s="20" t="str">
        <f t="shared" si="168"/>
        <v/>
      </c>
      <c r="AM344" s="20" t="str">
        <f t="shared" si="168"/>
        <v/>
      </c>
      <c r="AN344" s="20" t="str">
        <f t="shared" si="168"/>
        <v/>
      </c>
      <c r="AO344" s="20" t="str">
        <f t="shared" si="168"/>
        <v/>
      </c>
      <c r="AP344" s="20" t="str">
        <f t="shared" si="168"/>
        <v/>
      </c>
      <c r="AQ344" s="20" t="str">
        <f t="shared" si="168"/>
        <v/>
      </c>
      <c r="AR344" s="20" t="str">
        <f t="shared" si="168"/>
        <v/>
      </c>
      <c r="AS344" s="20" t="str">
        <f t="shared" si="168"/>
        <v/>
      </c>
      <c r="AT344" s="20" t="str">
        <f t="shared" si="168"/>
        <v/>
      </c>
      <c r="AU344" s="20" t="str">
        <f t="shared" si="168"/>
        <v/>
      </c>
      <c r="AV344" s="20" t="str">
        <f t="shared" si="168"/>
        <v/>
      </c>
      <c r="AW344" s="20" t="str">
        <f t="shared" si="168"/>
        <v/>
      </c>
      <c r="AX344" s="20" t="str">
        <f t="shared" si="168"/>
        <v/>
      </c>
    </row>
    <row r="345" ht="39.75" customHeight="1">
      <c r="A345" s="13" t="str">
        <f>'Настройки'!B15</f>
        <v>Планировщик покупок</v>
      </c>
      <c r="B345" s="19" t="str">
        <f>IF(COUNT('Эксперт 4'!B63)=0,"",'Эксперт 4'!B63)</f>
        <v/>
      </c>
      <c r="C345" s="19">
        <f>IF(COUNT('Эксперт 4'!C63)=0,"",'Эксперт 4'!C63)</f>
        <v>1</v>
      </c>
      <c r="D345" s="19" t="str">
        <f>IF(COUNT('Эксперт 4'!D63)=0,"",'Эксперт 4'!D63)</f>
        <v/>
      </c>
      <c r="E345" s="19" t="str">
        <f>IF(COUNT('Эксперт 4'!E63)=0,"",'Эксперт 4'!E63)</f>
        <v/>
      </c>
      <c r="F345" s="19" t="str">
        <f t="shared" si="169"/>
        <v/>
      </c>
      <c r="G345" s="19" t="str">
        <f t="shared" si="170"/>
        <v/>
      </c>
      <c r="H345" s="20"/>
      <c r="I345" s="20"/>
      <c r="J345" s="20" t="str">
        <f t="shared" si="171"/>
        <v/>
      </c>
      <c r="K345" s="20" t="str">
        <f t="shared" ref="K345:AX345" si="172">IF(J345="","",($B345*J$344+$C345*J$345+$D345*J$346+$E345*J$347)/SUM(J$344:J$347))</f>
        <v/>
      </c>
      <c r="L345" s="20" t="str">
        <f t="shared" si="172"/>
        <v/>
      </c>
      <c r="M345" s="20" t="str">
        <f t="shared" si="172"/>
        <v/>
      </c>
      <c r="N345" s="20" t="str">
        <f t="shared" si="172"/>
        <v/>
      </c>
      <c r="O345" s="20" t="str">
        <f t="shared" si="172"/>
        <v/>
      </c>
      <c r="P345" s="20" t="str">
        <f t="shared" si="172"/>
        <v/>
      </c>
      <c r="Q345" s="20" t="str">
        <f t="shared" si="172"/>
        <v/>
      </c>
      <c r="R345" s="20" t="str">
        <f t="shared" si="172"/>
        <v/>
      </c>
      <c r="S345" s="20" t="str">
        <f t="shared" si="172"/>
        <v/>
      </c>
      <c r="T345" s="20" t="str">
        <f t="shared" si="172"/>
        <v/>
      </c>
      <c r="U345" s="20" t="str">
        <f t="shared" si="172"/>
        <v/>
      </c>
      <c r="V345" s="20" t="str">
        <f t="shared" si="172"/>
        <v/>
      </c>
      <c r="W345" s="20" t="str">
        <f t="shared" si="172"/>
        <v/>
      </c>
      <c r="X345" s="20" t="str">
        <f t="shared" si="172"/>
        <v/>
      </c>
      <c r="Y345" s="20" t="str">
        <f t="shared" si="172"/>
        <v/>
      </c>
      <c r="Z345" s="20" t="str">
        <f t="shared" si="172"/>
        <v/>
      </c>
      <c r="AA345" s="20" t="str">
        <f t="shared" si="172"/>
        <v/>
      </c>
      <c r="AB345" s="20" t="str">
        <f t="shared" si="172"/>
        <v/>
      </c>
      <c r="AC345" s="20" t="str">
        <f t="shared" si="172"/>
        <v/>
      </c>
      <c r="AD345" s="20" t="str">
        <f t="shared" si="172"/>
        <v/>
      </c>
      <c r="AE345" s="20" t="str">
        <f t="shared" si="172"/>
        <v/>
      </c>
      <c r="AF345" s="20" t="str">
        <f t="shared" si="172"/>
        <v/>
      </c>
      <c r="AG345" s="20" t="str">
        <f t="shared" si="172"/>
        <v/>
      </c>
      <c r="AH345" s="20" t="str">
        <f t="shared" si="172"/>
        <v/>
      </c>
      <c r="AI345" s="20" t="str">
        <f t="shared" si="172"/>
        <v/>
      </c>
      <c r="AJ345" s="20" t="str">
        <f t="shared" si="172"/>
        <v/>
      </c>
      <c r="AK345" s="20" t="str">
        <f t="shared" si="172"/>
        <v/>
      </c>
      <c r="AL345" s="20" t="str">
        <f t="shared" si="172"/>
        <v/>
      </c>
      <c r="AM345" s="20" t="str">
        <f t="shared" si="172"/>
        <v/>
      </c>
      <c r="AN345" s="20" t="str">
        <f t="shared" si="172"/>
        <v/>
      </c>
      <c r="AO345" s="20" t="str">
        <f t="shared" si="172"/>
        <v/>
      </c>
      <c r="AP345" s="20" t="str">
        <f t="shared" si="172"/>
        <v/>
      </c>
      <c r="AQ345" s="20" t="str">
        <f t="shared" si="172"/>
        <v/>
      </c>
      <c r="AR345" s="20" t="str">
        <f t="shared" si="172"/>
        <v/>
      </c>
      <c r="AS345" s="20" t="str">
        <f t="shared" si="172"/>
        <v/>
      </c>
      <c r="AT345" s="20" t="str">
        <f t="shared" si="172"/>
        <v/>
      </c>
      <c r="AU345" s="20" t="str">
        <f t="shared" si="172"/>
        <v/>
      </c>
      <c r="AV345" s="20" t="str">
        <f t="shared" si="172"/>
        <v/>
      </c>
      <c r="AW345" s="20" t="str">
        <f t="shared" si="172"/>
        <v/>
      </c>
      <c r="AX345" s="20" t="str">
        <f t="shared" si="172"/>
        <v/>
      </c>
    </row>
    <row r="346" ht="39.75" customHeight="1">
      <c r="A346" s="13" t="str">
        <f>'Настройки'!B16</f>
        <v>Концепция 3</v>
      </c>
      <c r="B346" s="19" t="str">
        <f>IF(COUNT('Эксперт 4'!B64)=0,"",'Эксперт 4'!B64)</f>
        <v/>
      </c>
      <c r="C346" s="19" t="str">
        <f>IF(COUNT('Эксперт 4'!C64)=0,"",'Эксперт 4'!C64)</f>
        <v/>
      </c>
      <c r="D346" s="19">
        <f>IF(COUNT('Эксперт 4'!D64)=0,"",'Эксперт 4'!D64)</f>
        <v>1</v>
      </c>
      <c r="E346" s="19" t="str">
        <f>IF(COUNT('Эксперт 4'!E64)=0,"",'Эксперт 4'!E64)</f>
        <v/>
      </c>
      <c r="F346" s="19" t="str">
        <f t="shared" si="169"/>
        <v/>
      </c>
      <c r="G346" s="19" t="str">
        <f t="shared" si="170"/>
        <v/>
      </c>
      <c r="H346" s="20"/>
      <c r="I346" s="20"/>
      <c r="J346" s="20" t="str">
        <f t="shared" si="171"/>
        <v/>
      </c>
      <c r="K346" s="20" t="str">
        <f t="shared" ref="K346:AX346" si="173">IF(J346="","",($B346*J$344+$C346*J$345+$D346*J$346+$E346*J$347)/SUM(J$344:J$347))</f>
        <v/>
      </c>
      <c r="L346" s="20" t="str">
        <f t="shared" si="173"/>
        <v/>
      </c>
      <c r="M346" s="20" t="str">
        <f t="shared" si="173"/>
        <v/>
      </c>
      <c r="N346" s="20" t="str">
        <f t="shared" si="173"/>
        <v/>
      </c>
      <c r="O346" s="20" t="str">
        <f t="shared" si="173"/>
        <v/>
      </c>
      <c r="P346" s="20" t="str">
        <f t="shared" si="173"/>
        <v/>
      </c>
      <c r="Q346" s="20" t="str">
        <f t="shared" si="173"/>
        <v/>
      </c>
      <c r="R346" s="20" t="str">
        <f t="shared" si="173"/>
        <v/>
      </c>
      <c r="S346" s="20" t="str">
        <f t="shared" si="173"/>
        <v/>
      </c>
      <c r="T346" s="20" t="str">
        <f t="shared" si="173"/>
        <v/>
      </c>
      <c r="U346" s="20" t="str">
        <f t="shared" si="173"/>
        <v/>
      </c>
      <c r="V346" s="20" t="str">
        <f t="shared" si="173"/>
        <v/>
      </c>
      <c r="W346" s="20" t="str">
        <f t="shared" si="173"/>
        <v/>
      </c>
      <c r="X346" s="20" t="str">
        <f t="shared" si="173"/>
        <v/>
      </c>
      <c r="Y346" s="20" t="str">
        <f t="shared" si="173"/>
        <v/>
      </c>
      <c r="Z346" s="20" t="str">
        <f t="shared" si="173"/>
        <v/>
      </c>
      <c r="AA346" s="20" t="str">
        <f t="shared" si="173"/>
        <v/>
      </c>
      <c r="AB346" s="20" t="str">
        <f t="shared" si="173"/>
        <v/>
      </c>
      <c r="AC346" s="20" t="str">
        <f t="shared" si="173"/>
        <v/>
      </c>
      <c r="AD346" s="20" t="str">
        <f t="shared" si="173"/>
        <v/>
      </c>
      <c r="AE346" s="20" t="str">
        <f t="shared" si="173"/>
        <v/>
      </c>
      <c r="AF346" s="20" t="str">
        <f t="shared" si="173"/>
        <v/>
      </c>
      <c r="AG346" s="20" t="str">
        <f t="shared" si="173"/>
        <v/>
      </c>
      <c r="AH346" s="20" t="str">
        <f t="shared" si="173"/>
        <v/>
      </c>
      <c r="AI346" s="20" t="str">
        <f t="shared" si="173"/>
        <v/>
      </c>
      <c r="AJ346" s="20" t="str">
        <f t="shared" si="173"/>
        <v/>
      </c>
      <c r="AK346" s="20" t="str">
        <f t="shared" si="173"/>
        <v/>
      </c>
      <c r="AL346" s="20" t="str">
        <f t="shared" si="173"/>
        <v/>
      </c>
      <c r="AM346" s="20" t="str">
        <f t="shared" si="173"/>
        <v/>
      </c>
      <c r="AN346" s="20" t="str">
        <f t="shared" si="173"/>
        <v/>
      </c>
      <c r="AO346" s="20" t="str">
        <f t="shared" si="173"/>
        <v/>
      </c>
      <c r="AP346" s="20" t="str">
        <f t="shared" si="173"/>
        <v/>
      </c>
      <c r="AQ346" s="20" t="str">
        <f t="shared" si="173"/>
        <v/>
      </c>
      <c r="AR346" s="20" t="str">
        <f t="shared" si="173"/>
        <v/>
      </c>
      <c r="AS346" s="20" t="str">
        <f t="shared" si="173"/>
        <v/>
      </c>
      <c r="AT346" s="20" t="str">
        <f t="shared" si="173"/>
        <v/>
      </c>
      <c r="AU346" s="20" t="str">
        <f t="shared" si="173"/>
        <v/>
      </c>
      <c r="AV346" s="20" t="str">
        <f t="shared" si="173"/>
        <v/>
      </c>
      <c r="AW346" s="20" t="str">
        <f t="shared" si="173"/>
        <v/>
      </c>
      <c r="AX346" s="20" t="str">
        <f t="shared" si="173"/>
        <v/>
      </c>
    </row>
    <row r="347" ht="39.75" customHeight="1">
      <c r="A347" s="13" t="str">
        <f>'Настройки'!B17</f>
        <v>Концепция 4</v>
      </c>
      <c r="B347" s="19" t="str">
        <f>IF(COUNT('Эксперт 4'!B65)=0,"",'Эксперт 4'!B65)</f>
        <v/>
      </c>
      <c r="C347" s="19" t="str">
        <f>IF(COUNT('Эксперт 4'!C65)=0,"",'Эксперт 4'!C65)</f>
        <v/>
      </c>
      <c r="D347" s="19" t="str">
        <f>IF(COUNT('Эксперт 4'!D65)=0,"",'Эксперт 4'!D65)</f>
        <v/>
      </c>
      <c r="E347" s="19">
        <f>IF(COUNT('Эксперт 4'!E65)=0,"",'Эксперт 4'!E65)</f>
        <v>1</v>
      </c>
      <c r="F347" s="19" t="str">
        <f t="shared" si="169"/>
        <v/>
      </c>
      <c r="G347" s="19" t="str">
        <f t="shared" si="170"/>
        <v/>
      </c>
      <c r="H347" s="20"/>
      <c r="I347" s="20"/>
      <c r="J347" s="20" t="str">
        <f t="shared" si="171"/>
        <v/>
      </c>
      <c r="K347" s="20" t="str">
        <f t="shared" ref="K347:AX347" si="174">IF(J347="","",($B347*J$344+$C347*J$345+$D347*J$346+$E347*J$347)/SUM(J$344:J$347))</f>
        <v/>
      </c>
      <c r="L347" s="20" t="str">
        <f t="shared" si="174"/>
        <v/>
      </c>
      <c r="M347" s="20" t="str">
        <f t="shared" si="174"/>
        <v/>
      </c>
      <c r="N347" s="20" t="str">
        <f t="shared" si="174"/>
        <v/>
      </c>
      <c r="O347" s="20" t="str">
        <f t="shared" si="174"/>
        <v/>
      </c>
      <c r="P347" s="20" t="str">
        <f t="shared" si="174"/>
        <v/>
      </c>
      <c r="Q347" s="20" t="str">
        <f t="shared" si="174"/>
        <v/>
      </c>
      <c r="R347" s="20" t="str">
        <f t="shared" si="174"/>
        <v/>
      </c>
      <c r="S347" s="20" t="str">
        <f t="shared" si="174"/>
        <v/>
      </c>
      <c r="T347" s="20" t="str">
        <f t="shared" si="174"/>
        <v/>
      </c>
      <c r="U347" s="20" t="str">
        <f t="shared" si="174"/>
        <v/>
      </c>
      <c r="V347" s="20" t="str">
        <f t="shared" si="174"/>
        <v/>
      </c>
      <c r="W347" s="20" t="str">
        <f t="shared" si="174"/>
        <v/>
      </c>
      <c r="X347" s="20" t="str">
        <f t="shared" si="174"/>
        <v/>
      </c>
      <c r="Y347" s="20" t="str">
        <f t="shared" si="174"/>
        <v/>
      </c>
      <c r="Z347" s="20" t="str">
        <f t="shared" si="174"/>
        <v/>
      </c>
      <c r="AA347" s="20" t="str">
        <f t="shared" si="174"/>
        <v/>
      </c>
      <c r="AB347" s="20" t="str">
        <f t="shared" si="174"/>
        <v/>
      </c>
      <c r="AC347" s="20" t="str">
        <f t="shared" si="174"/>
        <v/>
      </c>
      <c r="AD347" s="20" t="str">
        <f t="shared" si="174"/>
        <v/>
      </c>
      <c r="AE347" s="20" t="str">
        <f t="shared" si="174"/>
        <v/>
      </c>
      <c r="AF347" s="20" t="str">
        <f t="shared" si="174"/>
        <v/>
      </c>
      <c r="AG347" s="20" t="str">
        <f t="shared" si="174"/>
        <v/>
      </c>
      <c r="AH347" s="20" t="str">
        <f t="shared" si="174"/>
        <v/>
      </c>
      <c r="AI347" s="20" t="str">
        <f t="shared" si="174"/>
        <v/>
      </c>
      <c r="AJ347" s="20" t="str">
        <f t="shared" si="174"/>
        <v/>
      </c>
      <c r="AK347" s="20" t="str">
        <f t="shared" si="174"/>
        <v/>
      </c>
      <c r="AL347" s="20" t="str">
        <f t="shared" si="174"/>
        <v/>
      </c>
      <c r="AM347" s="20" t="str">
        <f t="shared" si="174"/>
        <v/>
      </c>
      <c r="AN347" s="20" t="str">
        <f t="shared" si="174"/>
        <v/>
      </c>
      <c r="AO347" s="20" t="str">
        <f t="shared" si="174"/>
        <v/>
      </c>
      <c r="AP347" s="20" t="str">
        <f t="shared" si="174"/>
        <v/>
      </c>
      <c r="AQ347" s="20" t="str">
        <f t="shared" si="174"/>
        <v/>
      </c>
      <c r="AR347" s="20" t="str">
        <f t="shared" si="174"/>
        <v/>
      </c>
      <c r="AS347" s="20" t="str">
        <f t="shared" si="174"/>
        <v/>
      </c>
      <c r="AT347" s="20" t="str">
        <f t="shared" si="174"/>
        <v/>
      </c>
      <c r="AU347" s="20" t="str">
        <f t="shared" si="174"/>
        <v/>
      </c>
      <c r="AV347" s="20" t="str">
        <f t="shared" si="174"/>
        <v/>
      </c>
      <c r="AW347" s="20" t="str">
        <f t="shared" si="174"/>
        <v/>
      </c>
      <c r="AX347" s="20" t="str">
        <f t="shared" si="174"/>
        <v/>
      </c>
    </row>
    <row r="348" ht="22.5" customHeight="1">
      <c r="A348" s="1"/>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row>
    <row r="349" ht="22.5" customHeight="1">
      <c r="A349" s="1" t="s">
        <v>281</v>
      </c>
      <c r="B349" s="20" t="s">
        <v>282</v>
      </c>
      <c r="C349" s="20" t="s">
        <v>283</v>
      </c>
      <c r="D349" s="20" t="s">
        <v>284</v>
      </c>
      <c r="E349" s="20" t="s">
        <v>285</v>
      </c>
      <c r="F349" s="20" t="s">
        <v>286</v>
      </c>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row>
    <row r="350" ht="22.5" customHeight="1">
      <c r="A350" s="1"/>
      <c r="B350" s="20" t="str">
        <f>IF(COUNT(C350)=0,"",C350/'Настройки'!$B$32)</f>
        <v/>
      </c>
      <c r="C350" s="20" t="str">
        <f>IF(D350="","",MAX(0,(D350-4)/3))</f>
        <v/>
      </c>
      <c r="D350" s="20" t="str">
        <f>IF(COUNT(G344:G347)&lt;4,"",AVERAGE(G344:G347))</f>
        <v/>
      </c>
      <c r="E350" s="20" t="str">
        <f>IF(D350="","",SUM(F344:F347))</f>
        <v/>
      </c>
      <c r="F350" s="20" t="str">
        <f>IF(D350="","",MAX(ABS((G344-$D$350)*F344),ABS((G345-$D$350)*F345),ABS((G346-$D$350)*F346),ABS((G347-$D$350)*F347)))</f>
        <v/>
      </c>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row>
    <row r="351" ht="22.5" customHeight="1">
      <c r="A351" s="1"/>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row>
    <row r="352" ht="22.5" customHeight="1">
      <c r="A352" s="1" t="str">
        <f>IF(COUNT(B350)=0,"Нет оценок",IF(F350&gt;0.00000001,"Недостаточная сходимость",IF(B350&lt;='Настройки'!$B$31,"Согласовано","Пересмотреть сравнения")))</f>
        <v>Нет оценок</v>
      </c>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row>
    <row r="353" ht="22.5" customHeight="1">
      <c r="A353" s="1"/>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row>
    <row r="354" ht="22.5" customHeight="1">
      <c r="A354" s="1"/>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row>
    <row r="355" ht="22.5" customHeight="1">
      <c r="A355" s="1"/>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row>
    <row r="356" ht="22.5" customHeight="1">
      <c r="A356" s="1" t="s">
        <v>317</v>
      </c>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row>
    <row r="357" ht="54.0" customHeight="1">
      <c r="A357" s="3" t="s">
        <v>279</v>
      </c>
      <c r="B357" s="21" t="str">
        <f>'Настройки'!B14</f>
        <v>Детейлинг-центр</v>
      </c>
      <c r="C357" s="21" t="str">
        <f>'Настройки'!B15</f>
        <v>Планировщик покупок</v>
      </c>
      <c r="D357" s="21" t="str">
        <f>'Настройки'!B16</f>
        <v>Концепция 3</v>
      </c>
      <c r="E357" s="21" t="str">
        <f>'Настройки'!B17</f>
        <v>Концепция 4</v>
      </c>
      <c r="F357" s="21" t="s">
        <v>274</v>
      </c>
      <c r="G357" s="21" t="s">
        <v>280</v>
      </c>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row>
    <row r="358" ht="39.75" customHeight="1">
      <c r="A358" s="13" t="str">
        <f>'Настройки'!B14</f>
        <v>Детейлинг-центр</v>
      </c>
      <c r="B358" s="19">
        <f>IF(COUNT('Эксперт 4'!B74)=0,"",'Эксперт 4'!B74)</f>
        <v>1</v>
      </c>
      <c r="C358" s="19" t="str">
        <f>IF(COUNT('Эксперт 4'!C74)=0,"",'Эксперт 4'!C74)</f>
        <v/>
      </c>
      <c r="D358" s="19" t="str">
        <f>IF(COUNT('Эксперт 4'!D74)=0,"",'Эксперт 4'!D74)</f>
        <v/>
      </c>
      <c r="E358" s="19" t="str">
        <f>IF(COUNT('Эксперт 4'!E74)=0,"",'Эксперт 4'!E74)</f>
        <v/>
      </c>
      <c r="F358" s="19" t="str">
        <f t="shared" ref="F358:F361" si="176">IF(AX358="","",AX358/SUM(AX$358:AX$361))</f>
        <v/>
      </c>
      <c r="G358" s="19" t="str">
        <f t="shared" ref="G358:G361" si="177">IF(F358="","",(B358*$F$358+C358*$F$359+D358*$F$360+E358*$F$361)/F358)</f>
        <v/>
      </c>
      <c r="H358" s="20"/>
      <c r="I358" s="20"/>
      <c r="J358" s="20" t="str">
        <f t="shared" ref="J358:J361" si="178">IF(COUNT($B$358:$E$361)&lt;16,"",1/4)</f>
        <v/>
      </c>
      <c r="K358" s="20" t="str">
        <f t="shared" ref="K358:AX358" si="175">IF(J358="","",($B358*J$358+$C358*J$359+$D358*J$360+$E358*J$361)/SUM(J$358:J$361))</f>
        <v/>
      </c>
      <c r="L358" s="20" t="str">
        <f t="shared" si="175"/>
        <v/>
      </c>
      <c r="M358" s="20" t="str">
        <f t="shared" si="175"/>
        <v/>
      </c>
      <c r="N358" s="20" t="str">
        <f t="shared" si="175"/>
        <v/>
      </c>
      <c r="O358" s="20" t="str">
        <f t="shared" si="175"/>
        <v/>
      </c>
      <c r="P358" s="20" t="str">
        <f t="shared" si="175"/>
        <v/>
      </c>
      <c r="Q358" s="20" t="str">
        <f t="shared" si="175"/>
        <v/>
      </c>
      <c r="R358" s="20" t="str">
        <f t="shared" si="175"/>
        <v/>
      </c>
      <c r="S358" s="20" t="str">
        <f t="shared" si="175"/>
        <v/>
      </c>
      <c r="T358" s="20" t="str">
        <f t="shared" si="175"/>
        <v/>
      </c>
      <c r="U358" s="20" t="str">
        <f t="shared" si="175"/>
        <v/>
      </c>
      <c r="V358" s="20" t="str">
        <f t="shared" si="175"/>
        <v/>
      </c>
      <c r="W358" s="20" t="str">
        <f t="shared" si="175"/>
        <v/>
      </c>
      <c r="X358" s="20" t="str">
        <f t="shared" si="175"/>
        <v/>
      </c>
      <c r="Y358" s="20" t="str">
        <f t="shared" si="175"/>
        <v/>
      </c>
      <c r="Z358" s="20" t="str">
        <f t="shared" si="175"/>
        <v/>
      </c>
      <c r="AA358" s="20" t="str">
        <f t="shared" si="175"/>
        <v/>
      </c>
      <c r="AB358" s="20" t="str">
        <f t="shared" si="175"/>
        <v/>
      </c>
      <c r="AC358" s="20" t="str">
        <f t="shared" si="175"/>
        <v/>
      </c>
      <c r="AD358" s="20" t="str">
        <f t="shared" si="175"/>
        <v/>
      </c>
      <c r="AE358" s="20" t="str">
        <f t="shared" si="175"/>
        <v/>
      </c>
      <c r="AF358" s="20" t="str">
        <f t="shared" si="175"/>
        <v/>
      </c>
      <c r="AG358" s="20" t="str">
        <f t="shared" si="175"/>
        <v/>
      </c>
      <c r="AH358" s="20" t="str">
        <f t="shared" si="175"/>
        <v/>
      </c>
      <c r="AI358" s="20" t="str">
        <f t="shared" si="175"/>
        <v/>
      </c>
      <c r="AJ358" s="20" t="str">
        <f t="shared" si="175"/>
        <v/>
      </c>
      <c r="AK358" s="20" t="str">
        <f t="shared" si="175"/>
        <v/>
      </c>
      <c r="AL358" s="20" t="str">
        <f t="shared" si="175"/>
        <v/>
      </c>
      <c r="AM358" s="20" t="str">
        <f t="shared" si="175"/>
        <v/>
      </c>
      <c r="AN358" s="20" t="str">
        <f t="shared" si="175"/>
        <v/>
      </c>
      <c r="AO358" s="20" t="str">
        <f t="shared" si="175"/>
        <v/>
      </c>
      <c r="AP358" s="20" t="str">
        <f t="shared" si="175"/>
        <v/>
      </c>
      <c r="AQ358" s="20" t="str">
        <f t="shared" si="175"/>
        <v/>
      </c>
      <c r="AR358" s="20" t="str">
        <f t="shared" si="175"/>
        <v/>
      </c>
      <c r="AS358" s="20" t="str">
        <f t="shared" si="175"/>
        <v/>
      </c>
      <c r="AT358" s="20" t="str">
        <f t="shared" si="175"/>
        <v/>
      </c>
      <c r="AU358" s="20" t="str">
        <f t="shared" si="175"/>
        <v/>
      </c>
      <c r="AV358" s="20" t="str">
        <f t="shared" si="175"/>
        <v/>
      </c>
      <c r="AW358" s="20" t="str">
        <f t="shared" si="175"/>
        <v/>
      </c>
      <c r="AX358" s="20" t="str">
        <f t="shared" si="175"/>
        <v/>
      </c>
    </row>
    <row r="359" ht="39.75" customHeight="1">
      <c r="A359" s="13" t="str">
        <f>'Настройки'!B15</f>
        <v>Планировщик покупок</v>
      </c>
      <c r="B359" s="19" t="str">
        <f>IF(COUNT('Эксперт 4'!B75)=0,"",'Эксперт 4'!B75)</f>
        <v/>
      </c>
      <c r="C359" s="19">
        <f>IF(COUNT('Эксперт 4'!C75)=0,"",'Эксперт 4'!C75)</f>
        <v>1</v>
      </c>
      <c r="D359" s="19" t="str">
        <f>IF(COUNT('Эксперт 4'!D75)=0,"",'Эксперт 4'!D75)</f>
        <v/>
      </c>
      <c r="E359" s="19" t="str">
        <f>IF(COUNT('Эксперт 4'!E75)=0,"",'Эксперт 4'!E75)</f>
        <v/>
      </c>
      <c r="F359" s="19" t="str">
        <f t="shared" si="176"/>
        <v/>
      </c>
      <c r="G359" s="19" t="str">
        <f t="shared" si="177"/>
        <v/>
      </c>
      <c r="H359" s="20"/>
      <c r="I359" s="20"/>
      <c r="J359" s="20" t="str">
        <f t="shared" si="178"/>
        <v/>
      </c>
      <c r="K359" s="20" t="str">
        <f t="shared" ref="K359:AX359" si="179">IF(J359="","",($B359*J$358+$C359*J$359+$D359*J$360+$E359*J$361)/SUM(J$358:J$361))</f>
        <v/>
      </c>
      <c r="L359" s="20" t="str">
        <f t="shared" si="179"/>
        <v/>
      </c>
      <c r="M359" s="20" t="str">
        <f t="shared" si="179"/>
        <v/>
      </c>
      <c r="N359" s="20" t="str">
        <f t="shared" si="179"/>
        <v/>
      </c>
      <c r="O359" s="20" t="str">
        <f t="shared" si="179"/>
        <v/>
      </c>
      <c r="P359" s="20" t="str">
        <f t="shared" si="179"/>
        <v/>
      </c>
      <c r="Q359" s="20" t="str">
        <f t="shared" si="179"/>
        <v/>
      </c>
      <c r="R359" s="20" t="str">
        <f t="shared" si="179"/>
        <v/>
      </c>
      <c r="S359" s="20" t="str">
        <f t="shared" si="179"/>
        <v/>
      </c>
      <c r="T359" s="20" t="str">
        <f t="shared" si="179"/>
        <v/>
      </c>
      <c r="U359" s="20" t="str">
        <f t="shared" si="179"/>
        <v/>
      </c>
      <c r="V359" s="20" t="str">
        <f t="shared" si="179"/>
        <v/>
      </c>
      <c r="W359" s="20" t="str">
        <f t="shared" si="179"/>
        <v/>
      </c>
      <c r="X359" s="20" t="str">
        <f t="shared" si="179"/>
        <v/>
      </c>
      <c r="Y359" s="20" t="str">
        <f t="shared" si="179"/>
        <v/>
      </c>
      <c r="Z359" s="20" t="str">
        <f t="shared" si="179"/>
        <v/>
      </c>
      <c r="AA359" s="20" t="str">
        <f t="shared" si="179"/>
        <v/>
      </c>
      <c r="AB359" s="20" t="str">
        <f t="shared" si="179"/>
        <v/>
      </c>
      <c r="AC359" s="20" t="str">
        <f t="shared" si="179"/>
        <v/>
      </c>
      <c r="AD359" s="20" t="str">
        <f t="shared" si="179"/>
        <v/>
      </c>
      <c r="AE359" s="20" t="str">
        <f t="shared" si="179"/>
        <v/>
      </c>
      <c r="AF359" s="20" t="str">
        <f t="shared" si="179"/>
        <v/>
      </c>
      <c r="AG359" s="20" t="str">
        <f t="shared" si="179"/>
        <v/>
      </c>
      <c r="AH359" s="20" t="str">
        <f t="shared" si="179"/>
        <v/>
      </c>
      <c r="AI359" s="20" t="str">
        <f t="shared" si="179"/>
        <v/>
      </c>
      <c r="AJ359" s="20" t="str">
        <f t="shared" si="179"/>
        <v/>
      </c>
      <c r="AK359" s="20" t="str">
        <f t="shared" si="179"/>
        <v/>
      </c>
      <c r="AL359" s="20" t="str">
        <f t="shared" si="179"/>
        <v/>
      </c>
      <c r="AM359" s="20" t="str">
        <f t="shared" si="179"/>
        <v/>
      </c>
      <c r="AN359" s="20" t="str">
        <f t="shared" si="179"/>
        <v/>
      </c>
      <c r="AO359" s="20" t="str">
        <f t="shared" si="179"/>
        <v/>
      </c>
      <c r="AP359" s="20" t="str">
        <f t="shared" si="179"/>
        <v/>
      </c>
      <c r="AQ359" s="20" t="str">
        <f t="shared" si="179"/>
        <v/>
      </c>
      <c r="AR359" s="20" t="str">
        <f t="shared" si="179"/>
        <v/>
      </c>
      <c r="AS359" s="20" t="str">
        <f t="shared" si="179"/>
        <v/>
      </c>
      <c r="AT359" s="20" t="str">
        <f t="shared" si="179"/>
        <v/>
      </c>
      <c r="AU359" s="20" t="str">
        <f t="shared" si="179"/>
        <v/>
      </c>
      <c r="AV359" s="20" t="str">
        <f t="shared" si="179"/>
        <v/>
      </c>
      <c r="AW359" s="20" t="str">
        <f t="shared" si="179"/>
        <v/>
      </c>
      <c r="AX359" s="20" t="str">
        <f t="shared" si="179"/>
        <v/>
      </c>
    </row>
    <row r="360" ht="39.75" customHeight="1">
      <c r="A360" s="13" t="str">
        <f>'Настройки'!B16</f>
        <v>Концепция 3</v>
      </c>
      <c r="B360" s="19" t="str">
        <f>IF(COUNT('Эксперт 4'!B76)=0,"",'Эксперт 4'!B76)</f>
        <v/>
      </c>
      <c r="C360" s="19" t="str">
        <f>IF(COUNT('Эксперт 4'!C76)=0,"",'Эксперт 4'!C76)</f>
        <v/>
      </c>
      <c r="D360" s="19">
        <f>IF(COUNT('Эксперт 4'!D76)=0,"",'Эксперт 4'!D76)</f>
        <v>1</v>
      </c>
      <c r="E360" s="19" t="str">
        <f>IF(COUNT('Эксперт 4'!E76)=0,"",'Эксперт 4'!E76)</f>
        <v/>
      </c>
      <c r="F360" s="19" t="str">
        <f t="shared" si="176"/>
        <v/>
      </c>
      <c r="G360" s="19" t="str">
        <f t="shared" si="177"/>
        <v/>
      </c>
      <c r="H360" s="20"/>
      <c r="I360" s="20"/>
      <c r="J360" s="20" t="str">
        <f t="shared" si="178"/>
        <v/>
      </c>
      <c r="K360" s="20" t="str">
        <f t="shared" ref="K360:AX360" si="180">IF(J360="","",($B360*J$358+$C360*J$359+$D360*J$360+$E360*J$361)/SUM(J$358:J$361))</f>
        <v/>
      </c>
      <c r="L360" s="20" t="str">
        <f t="shared" si="180"/>
        <v/>
      </c>
      <c r="M360" s="20" t="str">
        <f t="shared" si="180"/>
        <v/>
      </c>
      <c r="N360" s="20" t="str">
        <f t="shared" si="180"/>
        <v/>
      </c>
      <c r="O360" s="20" t="str">
        <f t="shared" si="180"/>
        <v/>
      </c>
      <c r="P360" s="20" t="str">
        <f t="shared" si="180"/>
        <v/>
      </c>
      <c r="Q360" s="20" t="str">
        <f t="shared" si="180"/>
        <v/>
      </c>
      <c r="R360" s="20" t="str">
        <f t="shared" si="180"/>
        <v/>
      </c>
      <c r="S360" s="20" t="str">
        <f t="shared" si="180"/>
        <v/>
      </c>
      <c r="T360" s="20" t="str">
        <f t="shared" si="180"/>
        <v/>
      </c>
      <c r="U360" s="20" t="str">
        <f t="shared" si="180"/>
        <v/>
      </c>
      <c r="V360" s="20" t="str">
        <f t="shared" si="180"/>
        <v/>
      </c>
      <c r="W360" s="20" t="str">
        <f t="shared" si="180"/>
        <v/>
      </c>
      <c r="X360" s="20" t="str">
        <f t="shared" si="180"/>
        <v/>
      </c>
      <c r="Y360" s="20" t="str">
        <f t="shared" si="180"/>
        <v/>
      </c>
      <c r="Z360" s="20" t="str">
        <f t="shared" si="180"/>
        <v/>
      </c>
      <c r="AA360" s="20" t="str">
        <f t="shared" si="180"/>
        <v/>
      </c>
      <c r="AB360" s="20" t="str">
        <f t="shared" si="180"/>
        <v/>
      </c>
      <c r="AC360" s="20" t="str">
        <f t="shared" si="180"/>
        <v/>
      </c>
      <c r="AD360" s="20" t="str">
        <f t="shared" si="180"/>
        <v/>
      </c>
      <c r="AE360" s="20" t="str">
        <f t="shared" si="180"/>
        <v/>
      </c>
      <c r="AF360" s="20" t="str">
        <f t="shared" si="180"/>
        <v/>
      </c>
      <c r="AG360" s="20" t="str">
        <f t="shared" si="180"/>
        <v/>
      </c>
      <c r="AH360" s="20" t="str">
        <f t="shared" si="180"/>
        <v/>
      </c>
      <c r="AI360" s="20" t="str">
        <f t="shared" si="180"/>
        <v/>
      </c>
      <c r="AJ360" s="20" t="str">
        <f t="shared" si="180"/>
        <v/>
      </c>
      <c r="AK360" s="20" t="str">
        <f t="shared" si="180"/>
        <v/>
      </c>
      <c r="AL360" s="20" t="str">
        <f t="shared" si="180"/>
        <v/>
      </c>
      <c r="AM360" s="20" t="str">
        <f t="shared" si="180"/>
        <v/>
      </c>
      <c r="AN360" s="20" t="str">
        <f t="shared" si="180"/>
        <v/>
      </c>
      <c r="AO360" s="20" t="str">
        <f t="shared" si="180"/>
        <v/>
      </c>
      <c r="AP360" s="20" t="str">
        <f t="shared" si="180"/>
        <v/>
      </c>
      <c r="AQ360" s="20" t="str">
        <f t="shared" si="180"/>
        <v/>
      </c>
      <c r="AR360" s="20" t="str">
        <f t="shared" si="180"/>
        <v/>
      </c>
      <c r="AS360" s="20" t="str">
        <f t="shared" si="180"/>
        <v/>
      </c>
      <c r="AT360" s="20" t="str">
        <f t="shared" si="180"/>
        <v/>
      </c>
      <c r="AU360" s="20" t="str">
        <f t="shared" si="180"/>
        <v/>
      </c>
      <c r="AV360" s="20" t="str">
        <f t="shared" si="180"/>
        <v/>
      </c>
      <c r="AW360" s="20" t="str">
        <f t="shared" si="180"/>
        <v/>
      </c>
      <c r="AX360" s="20" t="str">
        <f t="shared" si="180"/>
        <v/>
      </c>
    </row>
    <row r="361" ht="39.75" customHeight="1">
      <c r="A361" s="13" t="str">
        <f>'Настройки'!B17</f>
        <v>Концепция 4</v>
      </c>
      <c r="B361" s="19" t="str">
        <f>IF(COUNT('Эксперт 4'!B77)=0,"",'Эксперт 4'!B77)</f>
        <v/>
      </c>
      <c r="C361" s="19" t="str">
        <f>IF(COUNT('Эксперт 4'!C77)=0,"",'Эксперт 4'!C77)</f>
        <v/>
      </c>
      <c r="D361" s="19" t="str">
        <f>IF(COUNT('Эксперт 4'!D77)=0,"",'Эксперт 4'!D77)</f>
        <v/>
      </c>
      <c r="E361" s="19">
        <f>IF(COUNT('Эксперт 4'!E77)=0,"",'Эксперт 4'!E77)</f>
        <v>1</v>
      </c>
      <c r="F361" s="19" t="str">
        <f t="shared" si="176"/>
        <v/>
      </c>
      <c r="G361" s="19" t="str">
        <f t="shared" si="177"/>
        <v/>
      </c>
      <c r="H361" s="20"/>
      <c r="I361" s="20"/>
      <c r="J361" s="20" t="str">
        <f t="shared" si="178"/>
        <v/>
      </c>
      <c r="K361" s="20" t="str">
        <f t="shared" ref="K361:AX361" si="181">IF(J361="","",($B361*J$358+$C361*J$359+$D361*J$360+$E361*J$361)/SUM(J$358:J$361))</f>
        <v/>
      </c>
      <c r="L361" s="20" t="str">
        <f t="shared" si="181"/>
        <v/>
      </c>
      <c r="M361" s="20" t="str">
        <f t="shared" si="181"/>
        <v/>
      </c>
      <c r="N361" s="20" t="str">
        <f t="shared" si="181"/>
        <v/>
      </c>
      <c r="O361" s="20" t="str">
        <f t="shared" si="181"/>
        <v/>
      </c>
      <c r="P361" s="20" t="str">
        <f t="shared" si="181"/>
        <v/>
      </c>
      <c r="Q361" s="20" t="str">
        <f t="shared" si="181"/>
        <v/>
      </c>
      <c r="R361" s="20" t="str">
        <f t="shared" si="181"/>
        <v/>
      </c>
      <c r="S361" s="20" t="str">
        <f t="shared" si="181"/>
        <v/>
      </c>
      <c r="T361" s="20" t="str">
        <f t="shared" si="181"/>
        <v/>
      </c>
      <c r="U361" s="20" t="str">
        <f t="shared" si="181"/>
        <v/>
      </c>
      <c r="V361" s="20" t="str">
        <f t="shared" si="181"/>
        <v/>
      </c>
      <c r="W361" s="20" t="str">
        <f t="shared" si="181"/>
        <v/>
      </c>
      <c r="X361" s="20" t="str">
        <f t="shared" si="181"/>
        <v/>
      </c>
      <c r="Y361" s="20" t="str">
        <f t="shared" si="181"/>
        <v/>
      </c>
      <c r="Z361" s="20" t="str">
        <f t="shared" si="181"/>
        <v/>
      </c>
      <c r="AA361" s="20" t="str">
        <f t="shared" si="181"/>
        <v/>
      </c>
      <c r="AB361" s="20" t="str">
        <f t="shared" si="181"/>
        <v/>
      </c>
      <c r="AC361" s="20" t="str">
        <f t="shared" si="181"/>
        <v/>
      </c>
      <c r="AD361" s="20" t="str">
        <f t="shared" si="181"/>
        <v/>
      </c>
      <c r="AE361" s="20" t="str">
        <f t="shared" si="181"/>
        <v/>
      </c>
      <c r="AF361" s="20" t="str">
        <f t="shared" si="181"/>
        <v/>
      </c>
      <c r="AG361" s="20" t="str">
        <f t="shared" si="181"/>
        <v/>
      </c>
      <c r="AH361" s="20" t="str">
        <f t="shared" si="181"/>
        <v/>
      </c>
      <c r="AI361" s="20" t="str">
        <f t="shared" si="181"/>
        <v/>
      </c>
      <c r="AJ361" s="20" t="str">
        <f t="shared" si="181"/>
        <v/>
      </c>
      <c r="AK361" s="20" t="str">
        <f t="shared" si="181"/>
        <v/>
      </c>
      <c r="AL361" s="20" t="str">
        <f t="shared" si="181"/>
        <v/>
      </c>
      <c r="AM361" s="20" t="str">
        <f t="shared" si="181"/>
        <v/>
      </c>
      <c r="AN361" s="20" t="str">
        <f t="shared" si="181"/>
        <v/>
      </c>
      <c r="AO361" s="20" t="str">
        <f t="shared" si="181"/>
        <v/>
      </c>
      <c r="AP361" s="20" t="str">
        <f t="shared" si="181"/>
        <v/>
      </c>
      <c r="AQ361" s="20" t="str">
        <f t="shared" si="181"/>
        <v/>
      </c>
      <c r="AR361" s="20" t="str">
        <f t="shared" si="181"/>
        <v/>
      </c>
      <c r="AS361" s="20" t="str">
        <f t="shared" si="181"/>
        <v/>
      </c>
      <c r="AT361" s="20" t="str">
        <f t="shared" si="181"/>
        <v/>
      </c>
      <c r="AU361" s="20" t="str">
        <f t="shared" si="181"/>
        <v/>
      </c>
      <c r="AV361" s="20" t="str">
        <f t="shared" si="181"/>
        <v/>
      </c>
      <c r="AW361" s="20" t="str">
        <f t="shared" si="181"/>
        <v/>
      </c>
      <c r="AX361" s="20" t="str">
        <f t="shared" si="181"/>
        <v/>
      </c>
    </row>
    <row r="362" ht="22.5" customHeight="1">
      <c r="A362" s="1"/>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row>
    <row r="363" ht="22.5" customHeight="1">
      <c r="A363" s="1" t="s">
        <v>281</v>
      </c>
      <c r="B363" s="20" t="s">
        <v>282</v>
      </c>
      <c r="C363" s="20" t="s">
        <v>283</v>
      </c>
      <c r="D363" s="20" t="s">
        <v>284</v>
      </c>
      <c r="E363" s="20" t="s">
        <v>285</v>
      </c>
      <c r="F363" s="20" t="s">
        <v>286</v>
      </c>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row>
    <row r="364" ht="22.5" customHeight="1">
      <c r="A364" s="1"/>
      <c r="B364" s="20" t="str">
        <f>IF(COUNT(C364)=0,"",C364/'Настройки'!$B$32)</f>
        <v/>
      </c>
      <c r="C364" s="20" t="str">
        <f>IF(D364="","",MAX(0,(D364-4)/3))</f>
        <v/>
      </c>
      <c r="D364" s="20" t="str">
        <f>IF(COUNT(G358:G361)&lt;4,"",AVERAGE(G358:G361))</f>
        <v/>
      </c>
      <c r="E364" s="20" t="str">
        <f>IF(D364="","",SUM(F358:F361))</f>
        <v/>
      </c>
      <c r="F364" s="20" t="str">
        <f>IF(D364="","",MAX(ABS((G358-$D$364)*F358),ABS((G359-$D$364)*F359),ABS((G360-$D$364)*F360),ABS((G361-$D$364)*F361)))</f>
        <v/>
      </c>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row>
    <row r="365" ht="22.5" customHeight="1">
      <c r="A365" s="1"/>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row>
    <row r="366" ht="22.5" customHeight="1">
      <c r="A366" s="1" t="str">
        <f>IF(COUNT(B364)=0,"Нет оценок",IF(F364&gt;0.00000001,"Недостаточная сходимость",IF(B364&lt;='Настройки'!$B$31,"Согласовано","Пересмотреть сравнения")))</f>
        <v>Нет оценок</v>
      </c>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row>
    <row r="367" ht="22.5" customHeight="1">
      <c r="A367" s="1"/>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row>
    <row r="368" ht="22.5" customHeight="1">
      <c r="A368" s="1"/>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row>
    <row r="369" ht="22.5" customHeight="1">
      <c r="A369" s="1"/>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row>
    <row r="370" ht="22.5" customHeight="1">
      <c r="A370" s="1"/>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row>
    <row r="371" ht="22.5" customHeight="1">
      <c r="A371" s="1"/>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row>
    <row r="372" ht="22.5" customHeight="1">
      <c r="A372" s="1"/>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row>
    <row r="373" ht="22.5" customHeight="1">
      <c r="A373" s="1"/>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row>
    <row r="374" ht="22.5" customHeight="1">
      <c r="A374" s="1"/>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row>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13"/>
    <col customWidth="1" min="2" max="2" width="42.25"/>
    <col customWidth="1" min="3" max="6" width="14.5"/>
    <col customWidth="1" min="7" max="14" width="12.0"/>
    <col customWidth="1" min="15" max="26" width="8.63"/>
  </cols>
  <sheetData>
    <row r="1" ht="22.5" customHeight="1">
      <c r="A1" s="1"/>
      <c r="B1" s="1"/>
      <c r="C1" s="1"/>
      <c r="D1" s="1"/>
      <c r="E1" s="1"/>
      <c r="F1" s="1"/>
      <c r="G1" s="1"/>
      <c r="H1" s="1"/>
      <c r="I1" s="1"/>
      <c r="J1" s="1"/>
      <c r="K1" s="1"/>
      <c r="L1" s="1"/>
      <c r="M1" s="1"/>
      <c r="N1" s="1"/>
    </row>
    <row r="2" ht="31.5" customHeight="1">
      <c r="A2" s="2" t="s">
        <v>175</v>
      </c>
      <c r="B2" s="1"/>
      <c r="C2" s="1"/>
      <c r="D2" s="1"/>
      <c r="E2" s="1"/>
      <c r="F2" s="1"/>
      <c r="G2" s="1"/>
      <c r="H2" s="1"/>
      <c r="I2" s="1"/>
      <c r="J2" s="1"/>
      <c r="K2" s="1"/>
      <c r="L2" s="1"/>
      <c r="M2" s="1"/>
      <c r="N2" s="1"/>
    </row>
    <row r="3" ht="22.5" customHeight="1">
      <c r="A3" s="1"/>
      <c r="B3" s="1"/>
      <c r="C3" s="1"/>
      <c r="D3" s="1"/>
      <c r="E3" s="1"/>
      <c r="F3" s="1"/>
      <c r="G3" s="1"/>
      <c r="H3" s="1"/>
      <c r="I3" s="1"/>
      <c r="J3" s="1"/>
      <c r="K3" s="1"/>
      <c r="L3" s="1"/>
      <c r="M3" s="1"/>
      <c r="N3" s="1"/>
    </row>
    <row r="4" ht="22.5" customHeight="1">
      <c r="A4" s="1" t="str">
        <f>IF(AND(B14=80,B15=120),"Оценки внесены. Проверьте согласованность МАИ.","Заполните экспертные оценки. Итог пока не рассчитан.")</f>
        <v>Заполните экспертные оценки. Итог пока не рассчитан.</v>
      </c>
      <c r="B4" s="1"/>
      <c r="C4" s="1"/>
      <c r="D4" s="1"/>
      <c r="E4" s="1"/>
      <c r="F4" s="1"/>
      <c r="G4" s="1"/>
      <c r="H4" s="1"/>
      <c r="I4" s="1"/>
      <c r="J4" s="1"/>
      <c r="K4" s="1"/>
      <c r="L4" s="1"/>
      <c r="M4" s="1"/>
      <c r="N4" s="1"/>
    </row>
    <row r="5" ht="22.5" customHeight="1">
      <c r="A5" s="1"/>
      <c r="B5" s="1"/>
      <c r="C5" s="1"/>
      <c r="D5" s="1"/>
      <c r="E5" s="1"/>
      <c r="F5" s="1"/>
      <c r="G5" s="1"/>
      <c r="H5" s="1"/>
      <c r="I5" s="1"/>
      <c r="J5" s="1"/>
      <c r="K5" s="1"/>
      <c r="L5" s="1"/>
      <c r="M5" s="1"/>
      <c r="N5" s="1"/>
    </row>
    <row r="6" ht="36.0" customHeight="1">
      <c r="A6" s="3" t="s">
        <v>19</v>
      </c>
      <c r="B6" s="3" t="s">
        <v>176</v>
      </c>
      <c r="C6" s="3" t="s">
        <v>177</v>
      </c>
      <c r="D6" s="3" t="s">
        <v>178</v>
      </c>
      <c r="E6" s="3" t="s">
        <v>179</v>
      </c>
      <c r="F6" s="3" t="s">
        <v>180</v>
      </c>
      <c r="G6" s="1"/>
      <c r="H6" s="1"/>
      <c r="I6" s="1"/>
      <c r="J6" s="1"/>
      <c r="K6" s="1"/>
      <c r="L6" s="1"/>
      <c r="M6" s="1"/>
      <c r="N6" s="1"/>
    </row>
    <row r="7" ht="37.5" customHeight="1">
      <c r="A7" s="1" t="s">
        <v>20</v>
      </c>
      <c r="B7" s="13" t="str">
        <f>'Настройки'!B14</f>
        <v>Детейлинг-центр</v>
      </c>
      <c r="C7" s="20" t="str">
        <f>IF(TOPSIS!D35="","",TOPSIS!D35)</f>
        <v/>
      </c>
      <c r="D7" s="1" t="str">
        <f>IF(TOPSIS!E35="","",TOPSIS!E35)</f>
        <v/>
      </c>
      <c r="E7" s="20" t="str">
        <f>IF('МАИ'!G9="","",'МАИ'!G9)</f>
        <v/>
      </c>
      <c r="F7" s="1" t="str">
        <f>IF('МАИ'!H9="","",'МАИ'!H9)</f>
        <v/>
      </c>
      <c r="G7" s="1"/>
      <c r="H7" s="1"/>
      <c r="I7" s="1"/>
      <c r="J7" s="1"/>
      <c r="K7" s="1"/>
      <c r="L7" s="1"/>
      <c r="M7" s="1"/>
      <c r="N7" s="1"/>
    </row>
    <row r="8" ht="37.5" customHeight="1">
      <c r="A8" s="1" t="s">
        <v>30</v>
      </c>
      <c r="B8" s="13" t="str">
        <f>'Настройки'!B15</f>
        <v>Планировщик покупок</v>
      </c>
      <c r="C8" s="20" t="str">
        <f>IF(TOPSIS!D36="","",TOPSIS!D36)</f>
        <v/>
      </c>
      <c r="D8" s="1" t="str">
        <f>IF(TOPSIS!E36="","",TOPSIS!E36)</f>
        <v/>
      </c>
      <c r="E8" s="20" t="str">
        <f>IF('МАИ'!G10="","",'МАИ'!G10)</f>
        <v/>
      </c>
      <c r="F8" s="1" t="str">
        <f>IF('МАИ'!H10="","",'МАИ'!H10)</f>
        <v/>
      </c>
      <c r="G8" s="1"/>
      <c r="H8" s="1"/>
      <c r="I8" s="1"/>
      <c r="J8" s="1"/>
      <c r="K8" s="1"/>
      <c r="L8" s="1"/>
      <c r="M8" s="1"/>
      <c r="N8" s="1"/>
    </row>
    <row r="9" ht="37.5" customHeight="1">
      <c r="A9" s="1" t="s">
        <v>33</v>
      </c>
      <c r="B9" s="13" t="str">
        <f>'Настройки'!B16</f>
        <v>Концепция 3</v>
      </c>
      <c r="C9" s="20" t="str">
        <f>IF(TOPSIS!D37="","",TOPSIS!D37)</f>
        <v/>
      </c>
      <c r="D9" s="1" t="str">
        <f>IF(TOPSIS!E37="","",TOPSIS!E37)</f>
        <v/>
      </c>
      <c r="E9" s="20" t="str">
        <f>IF('МАИ'!G11="","",'МАИ'!G11)</f>
        <v/>
      </c>
      <c r="F9" s="1" t="str">
        <f>IF('МАИ'!H11="","",'МАИ'!H11)</f>
        <v/>
      </c>
      <c r="G9" s="1"/>
      <c r="H9" s="1"/>
      <c r="I9" s="1"/>
      <c r="J9" s="1"/>
      <c r="K9" s="1"/>
      <c r="L9" s="1"/>
      <c r="M9" s="1"/>
      <c r="N9" s="1"/>
    </row>
    <row r="10" ht="37.5" customHeight="1">
      <c r="A10" s="1" t="s">
        <v>37</v>
      </c>
      <c r="B10" s="13" t="str">
        <f>'Настройки'!B17</f>
        <v>Концепция 4</v>
      </c>
      <c r="C10" s="20" t="str">
        <f>IF(TOPSIS!D38="","",TOPSIS!D38)</f>
        <v/>
      </c>
      <c r="D10" s="1" t="str">
        <f>IF(TOPSIS!E38="","",TOPSIS!E38)</f>
        <v/>
      </c>
      <c r="E10" s="20" t="str">
        <f>IF('МАИ'!G12="","",'МАИ'!G12)</f>
        <v/>
      </c>
      <c r="F10" s="1" t="str">
        <f>IF('МАИ'!H12="","",'МАИ'!H12)</f>
        <v/>
      </c>
      <c r="G10" s="1"/>
      <c r="H10" s="1"/>
      <c r="I10" s="1"/>
      <c r="J10" s="1"/>
      <c r="K10" s="1"/>
      <c r="L10" s="1"/>
      <c r="M10" s="1"/>
      <c r="N10" s="1"/>
    </row>
    <row r="11" ht="22.5" customHeight="1">
      <c r="A11" s="1"/>
      <c r="B11" s="1"/>
      <c r="C11" s="1"/>
      <c r="D11" s="1"/>
      <c r="E11" s="1"/>
      <c r="F11" s="1"/>
      <c r="G11" s="1"/>
      <c r="H11" s="1"/>
      <c r="I11" s="1"/>
      <c r="J11" s="1"/>
      <c r="K11" s="1"/>
      <c r="L11" s="1"/>
      <c r="M11" s="1"/>
      <c r="N11" s="1"/>
    </row>
    <row r="12" ht="22.5" customHeight="1">
      <c r="A12" s="1"/>
      <c r="B12" s="1"/>
      <c r="C12" s="1"/>
      <c r="D12" s="1"/>
      <c r="E12" s="1"/>
      <c r="F12" s="1"/>
      <c r="G12" s="1"/>
      <c r="H12" s="1"/>
      <c r="I12" s="1"/>
      <c r="J12" s="1"/>
      <c r="K12" s="1"/>
      <c r="L12" s="1"/>
      <c r="M12" s="1"/>
      <c r="N12" s="1"/>
    </row>
    <row r="13" ht="22.5" customHeight="1">
      <c r="A13" s="1" t="s">
        <v>206</v>
      </c>
      <c r="B13" s="1" t="s">
        <v>87</v>
      </c>
      <c r="C13" s="1"/>
      <c r="D13" s="1"/>
      <c r="E13" s="1"/>
      <c r="F13" s="1"/>
      <c r="G13" s="1"/>
      <c r="H13" s="1"/>
      <c r="I13" s="1"/>
      <c r="J13" s="1"/>
      <c r="K13" s="1"/>
      <c r="L13" s="1"/>
      <c r="M13" s="1"/>
      <c r="N13" s="1"/>
    </row>
    <row r="14" ht="22.5" customHeight="1">
      <c r="A14" s="1" t="s">
        <v>212</v>
      </c>
      <c r="B14" s="1">
        <f>TOPSIS!B4</f>
        <v>4</v>
      </c>
      <c r="C14" s="1"/>
      <c r="D14" s="1"/>
      <c r="E14" s="1"/>
      <c r="F14" s="1"/>
      <c r="G14" s="1"/>
      <c r="H14" s="1"/>
      <c r="I14" s="1"/>
      <c r="J14" s="1"/>
      <c r="K14" s="1"/>
      <c r="L14" s="1"/>
      <c r="M14" s="1"/>
      <c r="N14" s="1"/>
    </row>
    <row r="15" ht="22.5" customHeight="1">
      <c r="A15" s="1" t="s">
        <v>227</v>
      </c>
      <c r="B15" s="1">
        <f>'МАИ'!B4</f>
        <v>0</v>
      </c>
      <c r="C15" s="1"/>
      <c r="D15" s="1"/>
      <c r="E15" s="1"/>
      <c r="F15" s="1"/>
      <c r="G15" s="1"/>
      <c r="H15" s="1"/>
      <c r="I15" s="1"/>
      <c r="J15" s="1"/>
      <c r="K15" s="1"/>
      <c r="L15" s="1"/>
      <c r="M15" s="1"/>
      <c r="N15" s="1"/>
    </row>
    <row r="16" ht="22.5" customHeight="1">
      <c r="A16" s="1" t="s">
        <v>233</v>
      </c>
      <c r="B16" s="1">
        <f>'МАИ'!B5</f>
        <v>0</v>
      </c>
      <c r="C16" s="1"/>
      <c r="D16" s="1"/>
      <c r="E16" s="1"/>
      <c r="F16" s="1"/>
      <c r="G16" s="1"/>
      <c r="H16" s="1"/>
      <c r="I16" s="1"/>
      <c r="J16" s="1"/>
      <c r="K16" s="1"/>
      <c r="L16" s="1"/>
      <c r="M16" s="1"/>
      <c r="N16" s="1"/>
    </row>
    <row r="17" ht="22.5" customHeight="1">
      <c r="A17" s="1"/>
      <c r="B17" s="1"/>
      <c r="C17" s="1"/>
      <c r="D17" s="1"/>
      <c r="E17" s="1"/>
      <c r="F17" s="1"/>
      <c r="G17" s="1"/>
      <c r="H17" s="1"/>
      <c r="I17" s="1"/>
      <c r="J17" s="1"/>
      <c r="K17" s="1"/>
      <c r="L17" s="1"/>
      <c r="M17" s="1"/>
      <c r="N17" s="1"/>
    </row>
    <row r="18" ht="22.5" customHeight="1">
      <c r="A18" s="1"/>
      <c r="B18" s="1"/>
      <c r="C18" s="1"/>
      <c r="D18" s="1"/>
      <c r="E18" s="1"/>
      <c r="F18" s="1"/>
      <c r="G18" s="1"/>
      <c r="H18" s="1"/>
      <c r="I18" s="1"/>
      <c r="J18" s="1"/>
      <c r="K18" s="1"/>
      <c r="L18" s="1"/>
      <c r="M18" s="1"/>
      <c r="N18" s="1"/>
    </row>
    <row r="19" ht="22.5" customHeight="1">
      <c r="A19" s="1" t="s">
        <v>251</v>
      </c>
      <c r="B19" s="1" t="str">
        <f t="array" ref="B19">IF(COUNT(D7:D10)&lt;4,"Нет оценок",IF(COUNTIFS(D7:D10,1)&gt;1,"Несколько лидеров",INDEX($B$7:$B$10,MATCH(1,D7:D10,0))))</f>
        <v>Нет оценок</v>
      </c>
      <c r="C19" s="1"/>
      <c r="D19" s="1"/>
      <c r="E19" s="1"/>
      <c r="F19" s="1"/>
      <c r="G19" s="1"/>
      <c r="H19" s="1"/>
      <c r="I19" s="1"/>
      <c r="J19" s="1"/>
      <c r="K19" s="1"/>
      <c r="L19" s="1"/>
      <c r="M19" s="1"/>
      <c r="N19" s="1"/>
    </row>
    <row r="20" ht="22.5" customHeight="1">
      <c r="A20" s="1" t="s">
        <v>252</v>
      </c>
      <c r="B20" s="1" t="str">
        <f t="array" ref="B20">IF(COUNT(F7:F10)&lt;4,"Нет оценок",IF(COUNTIFS(F7:F10,1)&gt;1,"Несколько лидеров",INDEX($B$7:$B$10,MATCH(1,F7:F10,0))))</f>
        <v>Нет оценок</v>
      </c>
      <c r="C20" s="1"/>
      <c r="D20" s="1"/>
      <c r="E20" s="1"/>
      <c r="F20" s="1"/>
      <c r="G20" s="1"/>
      <c r="H20" s="1"/>
      <c r="I20" s="1"/>
      <c r="J20" s="1"/>
      <c r="K20" s="1"/>
      <c r="L20" s="1"/>
      <c r="M20" s="1"/>
      <c r="N20" s="1"/>
    </row>
    <row r="21" ht="22.5" customHeight="1">
      <c r="A21" s="1"/>
      <c r="B21" s="1"/>
      <c r="C21" s="1"/>
      <c r="D21" s="1"/>
      <c r="E21" s="1"/>
      <c r="F21" s="1"/>
      <c r="G21" s="1"/>
      <c r="H21" s="1"/>
      <c r="I21" s="1"/>
      <c r="J21" s="1"/>
      <c r="K21" s="1"/>
      <c r="L21" s="1"/>
      <c r="M21" s="1"/>
      <c r="N21" s="1"/>
    </row>
    <row r="22" ht="22.5" customHeight="1">
      <c r="A22" s="1" t="s">
        <v>253</v>
      </c>
      <c r="B22" s="1" t="str">
        <f>IF(OR(COUNT(D7:D10)&lt;4,COUNT(F7:F10)&lt;4),"Нет оценок",IF(OR(COUNTIFS(D7:D10,1)&gt;1,COUNTIFS(F7:F10,1)&gt;1),"Есть ничья",IF(B19=B20,"Совпадают","Различаются")))</f>
        <v>Нет оценок</v>
      </c>
      <c r="C22" s="1"/>
      <c r="D22" s="1"/>
      <c r="E22" s="1"/>
      <c r="F22" s="1"/>
      <c r="G22" s="1"/>
      <c r="H22" s="1"/>
      <c r="I22" s="1"/>
      <c r="J22" s="1"/>
      <c r="K22" s="1"/>
      <c r="L22" s="1"/>
      <c r="M22" s="1"/>
      <c r="N22" s="1"/>
    </row>
    <row r="23" ht="22.5" customHeight="1">
      <c r="A23" s="1"/>
      <c r="B23" s="1"/>
      <c r="C23" s="1"/>
      <c r="D23" s="1"/>
      <c r="E23" s="1"/>
      <c r="F23" s="1"/>
      <c r="G23" s="1"/>
      <c r="H23" s="1"/>
      <c r="I23" s="1"/>
      <c r="J23" s="1"/>
      <c r="K23" s="1"/>
      <c r="L23" s="1"/>
      <c r="M23" s="1"/>
      <c r="N23" s="1"/>
    </row>
    <row r="24" ht="22.5" customHeight="1">
      <c r="A24" s="1"/>
      <c r="B24" s="1"/>
      <c r="C24" s="1"/>
      <c r="D24" s="1"/>
      <c r="E24" s="1"/>
      <c r="F24" s="1"/>
      <c r="G24" s="1"/>
      <c r="H24" s="1"/>
      <c r="I24" s="1"/>
      <c r="J24" s="1"/>
      <c r="K24" s="1"/>
      <c r="L24" s="1"/>
      <c r="M24" s="1"/>
      <c r="N24" s="1"/>
    </row>
    <row r="25" ht="22.5" customHeight="1">
      <c r="A25" s="1" t="s">
        <v>254</v>
      </c>
      <c r="B25" s="1"/>
      <c r="C25" s="1"/>
      <c r="D25" s="1"/>
      <c r="E25" s="1"/>
      <c r="F25" s="1"/>
      <c r="G25" s="1"/>
      <c r="H25" s="1"/>
      <c r="I25" s="1"/>
      <c r="J25" s="1"/>
      <c r="K25" s="1"/>
      <c r="L25" s="1"/>
      <c r="M25" s="1"/>
      <c r="N25" s="1"/>
    </row>
    <row r="26" ht="22.5" customHeight="1">
      <c r="A26" s="1"/>
      <c r="B26" s="1"/>
      <c r="C26" s="1"/>
      <c r="D26" s="1"/>
      <c r="E26" s="1"/>
      <c r="F26" s="1"/>
      <c r="G26" s="1"/>
      <c r="H26" s="1"/>
      <c r="I26" s="1"/>
      <c r="J26" s="1"/>
      <c r="K26" s="1"/>
      <c r="L26" s="1"/>
      <c r="M26" s="1"/>
      <c r="N26" s="1"/>
    </row>
    <row r="27" ht="22.5" customHeight="1">
      <c r="A27" s="33" t="s">
        <v>255</v>
      </c>
      <c r="B27" s="1"/>
      <c r="C27" s="1"/>
      <c r="D27" s="1"/>
      <c r="E27" s="1"/>
      <c r="F27" s="1"/>
      <c r="G27" s="1"/>
      <c r="H27" s="1"/>
      <c r="I27" s="1"/>
      <c r="J27" s="1"/>
      <c r="K27" s="1"/>
      <c r="L27" s="1"/>
      <c r="M27" s="1"/>
      <c r="N27" s="1"/>
    </row>
    <row r="28" ht="22.5" customHeight="1">
      <c r="A28" s="1"/>
      <c r="B28" s="1"/>
      <c r="C28" s="1"/>
      <c r="D28" s="1"/>
      <c r="E28" s="1"/>
      <c r="F28" s="1"/>
      <c r="G28" s="1"/>
      <c r="H28" s="1"/>
      <c r="I28" s="1"/>
      <c r="J28" s="1"/>
      <c r="K28" s="1"/>
      <c r="L28" s="1"/>
      <c r="M28" s="1"/>
      <c r="N28" s="1"/>
    </row>
    <row r="29" ht="22.5" customHeight="1">
      <c r="A29" s="1"/>
      <c r="B29" s="1"/>
      <c r="C29" s="1"/>
      <c r="D29" s="1"/>
      <c r="E29" s="1"/>
      <c r="F29" s="1"/>
      <c r="G29" s="1"/>
      <c r="H29" s="1"/>
      <c r="I29" s="1"/>
      <c r="J29" s="1"/>
      <c r="K29" s="1"/>
      <c r="L29" s="1"/>
      <c r="M29" s="1"/>
      <c r="N29" s="1"/>
    </row>
    <row r="30" ht="22.5" customHeight="1">
      <c r="A30" s="33" t="s">
        <v>257</v>
      </c>
      <c r="B30" s="1"/>
      <c r="C30" s="1"/>
      <c r="D30" s="1"/>
      <c r="E30" s="1"/>
      <c r="F30" s="1"/>
      <c r="G30" s="1"/>
      <c r="H30" s="1"/>
      <c r="I30" s="1"/>
      <c r="J30" s="1"/>
      <c r="K30" s="1"/>
      <c r="L30" s="1"/>
      <c r="M30" s="1"/>
      <c r="N30" s="1"/>
    </row>
    <row r="31" ht="22.5" customHeight="1">
      <c r="A31" s="33" t="s">
        <v>258</v>
      </c>
      <c r="B31" s="34"/>
      <c r="C31" s="1"/>
      <c r="D31" s="1"/>
      <c r="E31" s="1"/>
      <c r="F31" s="1"/>
      <c r="G31" s="1"/>
      <c r="H31" s="1"/>
      <c r="I31" s="1"/>
      <c r="J31" s="1"/>
      <c r="K31" s="1"/>
      <c r="L31" s="1"/>
      <c r="M31" s="1"/>
      <c r="N31" s="1"/>
    </row>
    <row r="32" ht="22.5" customHeight="1">
      <c r="A32" s="33" t="s">
        <v>259</v>
      </c>
      <c r="B32" s="34"/>
      <c r="C32" s="1"/>
      <c r="D32" s="1"/>
      <c r="E32" s="1"/>
      <c r="F32" s="1"/>
      <c r="G32" s="1"/>
      <c r="H32" s="1"/>
      <c r="I32" s="1"/>
      <c r="J32" s="1"/>
      <c r="K32" s="1"/>
      <c r="L32" s="1"/>
      <c r="M32" s="1"/>
      <c r="N32" s="1"/>
    </row>
    <row r="33" ht="22.5" customHeight="1">
      <c r="A33" s="33" t="s">
        <v>260</v>
      </c>
      <c r="B33" s="34"/>
      <c r="C33" s="1"/>
      <c r="D33" s="1"/>
      <c r="E33" s="1"/>
      <c r="F33" s="1"/>
      <c r="G33" s="1"/>
      <c r="H33" s="1"/>
      <c r="I33" s="1"/>
      <c r="J33" s="1"/>
      <c r="K33" s="1"/>
      <c r="L33" s="1"/>
      <c r="M33" s="1"/>
      <c r="N33" s="1"/>
    </row>
    <row r="34" ht="22.5" customHeight="1">
      <c r="A34" s="33" t="s">
        <v>261</v>
      </c>
      <c r="B34" s="34"/>
      <c r="C34" s="1"/>
      <c r="D34" s="1"/>
      <c r="E34" s="1"/>
      <c r="F34" s="1"/>
      <c r="G34" s="1"/>
      <c r="H34" s="1"/>
      <c r="I34" s="1"/>
      <c r="J34" s="1"/>
      <c r="K34" s="1"/>
      <c r="L34" s="1"/>
      <c r="M34" s="1"/>
      <c r="N34" s="1"/>
    </row>
    <row r="35" ht="22.5" customHeight="1">
      <c r="A35" s="33" t="s">
        <v>262</v>
      </c>
      <c r="B35" s="34"/>
      <c r="C35" s="1"/>
      <c r="D35" s="1"/>
      <c r="E35" s="1"/>
      <c r="F35" s="1"/>
      <c r="G35" s="1"/>
      <c r="H35" s="1"/>
      <c r="I35" s="1"/>
      <c r="J35" s="1"/>
      <c r="K35" s="1"/>
      <c r="L35" s="1"/>
      <c r="M35" s="1"/>
      <c r="N35" s="1"/>
    </row>
    <row r="36" ht="22.5" customHeight="1">
      <c r="A36" s="1"/>
      <c r="B36" s="1"/>
      <c r="C36" s="1"/>
      <c r="D36" s="1"/>
      <c r="E36" s="1"/>
      <c r="F36" s="1"/>
      <c r="G36" s="1"/>
      <c r="H36" s="1"/>
      <c r="I36" s="1"/>
      <c r="J36" s="1"/>
      <c r="K36" s="1"/>
      <c r="L36" s="1"/>
      <c r="M36" s="1"/>
      <c r="N36" s="1"/>
    </row>
    <row r="37" ht="22.5" customHeight="1">
      <c r="A37" s="1"/>
      <c r="B37" s="1"/>
      <c r="C37" s="1"/>
      <c r="D37" s="1"/>
      <c r="E37" s="1"/>
      <c r="F37" s="1"/>
      <c r="G37" s="1"/>
      <c r="H37" s="1"/>
      <c r="I37" s="1"/>
      <c r="J37" s="1"/>
      <c r="K37" s="1"/>
      <c r="L37" s="1"/>
      <c r="M37" s="1"/>
      <c r="N37" s="1"/>
    </row>
    <row r="38" ht="22.5" customHeight="1">
      <c r="A38" s="1"/>
      <c r="B38" s="1"/>
      <c r="C38" s="1"/>
      <c r="D38" s="1"/>
      <c r="E38" s="1"/>
      <c r="F38" s="1"/>
      <c r="G38" s="1"/>
      <c r="H38" s="1"/>
      <c r="I38" s="1"/>
      <c r="J38" s="1"/>
      <c r="K38" s="1"/>
      <c r="L38" s="1"/>
      <c r="M38" s="1"/>
      <c r="N38" s="1"/>
    </row>
    <row r="39" ht="22.5" customHeight="1">
      <c r="A39" s="1"/>
      <c r="B39" s="1"/>
      <c r="C39" s="1"/>
      <c r="D39" s="1"/>
      <c r="E39" s="1"/>
      <c r="F39" s="1"/>
      <c r="G39" s="1"/>
      <c r="H39" s="1"/>
      <c r="I39" s="1"/>
      <c r="J39" s="1"/>
      <c r="K39" s="1"/>
      <c r="L39" s="1"/>
      <c r="M39" s="1"/>
      <c r="N39" s="1"/>
    </row>
    <row r="40" ht="22.5" customHeight="1">
      <c r="A40" s="1"/>
      <c r="B40" s="1"/>
      <c r="C40" s="1"/>
      <c r="D40" s="1"/>
      <c r="E40" s="1"/>
      <c r="F40" s="1"/>
      <c r="G40" s="1"/>
      <c r="H40" s="1"/>
      <c r="I40" s="1"/>
      <c r="J40" s="1"/>
      <c r="K40" s="1"/>
      <c r="L40" s="1"/>
      <c r="M40" s="1"/>
      <c r="N40" s="1"/>
    </row>
    <row r="41" ht="22.5" customHeight="1">
      <c r="A41" s="1"/>
      <c r="B41" s="1"/>
      <c r="C41" s="1"/>
      <c r="D41" s="1"/>
      <c r="E41" s="1"/>
      <c r="F41" s="1"/>
      <c r="G41" s="1"/>
      <c r="H41" s="1"/>
      <c r="I41" s="1"/>
      <c r="J41" s="1"/>
      <c r="K41" s="1"/>
      <c r="L41" s="1"/>
      <c r="M41" s="1"/>
      <c r="N41" s="1"/>
    </row>
    <row r="42" ht="22.5" customHeight="1">
      <c r="A42" s="1"/>
      <c r="B42" s="1"/>
      <c r="C42" s="1"/>
      <c r="D42" s="1"/>
      <c r="E42" s="1"/>
      <c r="F42" s="1"/>
      <c r="G42" s="1"/>
      <c r="H42" s="1"/>
      <c r="I42" s="1"/>
      <c r="J42" s="1"/>
      <c r="K42" s="1"/>
      <c r="L42" s="1"/>
      <c r="M42" s="1"/>
      <c r="N42" s="1"/>
    </row>
    <row r="43" ht="22.5" customHeight="1">
      <c r="A43" s="1"/>
      <c r="B43" s="1"/>
      <c r="C43" s="1"/>
      <c r="D43" s="1"/>
      <c r="E43" s="1"/>
      <c r="F43" s="1"/>
      <c r="G43" s="1"/>
      <c r="H43" s="1"/>
      <c r="I43" s="1"/>
      <c r="J43" s="1"/>
      <c r="K43" s="1"/>
      <c r="L43" s="1"/>
      <c r="M43" s="1"/>
      <c r="N43" s="1"/>
    </row>
    <row r="44" ht="22.5" customHeight="1">
      <c r="A44" s="1"/>
      <c r="B44" s="1"/>
      <c r="C44" s="1"/>
      <c r="D44" s="1"/>
      <c r="E44" s="1"/>
      <c r="F44" s="1"/>
      <c r="G44" s="1"/>
      <c r="H44" s="1"/>
      <c r="I44" s="1"/>
      <c r="J44" s="1"/>
      <c r="K44" s="1"/>
      <c r="L44" s="1"/>
      <c r="M44" s="1"/>
      <c r="N44" s="1"/>
    </row>
    <row r="45" ht="22.5" customHeight="1">
      <c r="A45" s="1"/>
      <c r="B45" s="1"/>
      <c r="C45" s="1"/>
      <c r="D45" s="1"/>
      <c r="E45" s="1"/>
      <c r="F45" s="1"/>
      <c r="G45" s="1"/>
      <c r="H45" s="1"/>
      <c r="I45" s="1"/>
      <c r="J45" s="1"/>
      <c r="K45" s="1"/>
      <c r="L45" s="1"/>
      <c r="M45" s="1"/>
      <c r="N45" s="1"/>
    </row>
    <row r="46" ht="22.5" customHeight="1">
      <c r="A46" s="1"/>
      <c r="B46" s="1"/>
      <c r="C46" s="1"/>
      <c r="D46" s="1"/>
      <c r="E46" s="1"/>
      <c r="F46" s="1"/>
      <c r="G46" s="1"/>
      <c r="H46" s="1"/>
      <c r="I46" s="1"/>
      <c r="J46" s="1"/>
      <c r="K46" s="1"/>
      <c r="L46" s="1"/>
      <c r="M46" s="1"/>
      <c r="N46" s="1"/>
    </row>
    <row r="47" ht="22.5" customHeight="1">
      <c r="A47" s="1"/>
      <c r="B47" s="1"/>
      <c r="C47" s="1"/>
      <c r="D47" s="1"/>
      <c r="E47" s="1"/>
      <c r="F47" s="1"/>
      <c r="G47" s="1"/>
      <c r="H47" s="1"/>
      <c r="I47" s="1"/>
      <c r="J47" s="1"/>
      <c r="K47" s="1"/>
      <c r="L47" s="1"/>
      <c r="M47" s="1"/>
      <c r="N47" s="1"/>
    </row>
    <row r="48" ht="22.5" customHeight="1">
      <c r="A48" s="1"/>
      <c r="B48" s="1"/>
      <c r="C48" s="1"/>
      <c r="D48" s="1"/>
      <c r="E48" s="1"/>
      <c r="F48" s="1"/>
      <c r="G48" s="1"/>
      <c r="H48" s="1"/>
      <c r="I48" s="1"/>
      <c r="J48" s="1"/>
      <c r="K48" s="1"/>
      <c r="L48" s="1"/>
      <c r="M48" s="1"/>
      <c r="N48" s="1"/>
    </row>
    <row r="49" ht="22.5" customHeight="1">
      <c r="A49" s="1"/>
      <c r="B49" s="1"/>
      <c r="C49" s="1"/>
      <c r="D49" s="1"/>
      <c r="E49" s="1"/>
      <c r="F49" s="1"/>
      <c r="G49" s="1"/>
      <c r="H49" s="1"/>
      <c r="I49" s="1"/>
      <c r="J49" s="1"/>
      <c r="K49" s="1"/>
      <c r="L49" s="1"/>
      <c r="M49" s="1"/>
      <c r="N49" s="1"/>
    </row>
    <row r="50" ht="22.5" customHeight="1">
      <c r="A50" s="1"/>
      <c r="B50" s="1"/>
      <c r="C50" s="1"/>
      <c r="D50" s="1"/>
      <c r="E50" s="1"/>
      <c r="F50" s="1"/>
      <c r="G50" s="1"/>
      <c r="H50" s="1"/>
      <c r="I50" s="1"/>
      <c r="J50" s="1"/>
      <c r="K50" s="1"/>
      <c r="L50" s="1"/>
      <c r="M50" s="1"/>
      <c r="N50" s="1"/>
    </row>
    <row r="51" ht="22.5" customHeight="1">
      <c r="A51" s="1"/>
      <c r="B51" s="1"/>
      <c r="C51" s="1"/>
      <c r="D51" s="1"/>
      <c r="E51" s="1"/>
      <c r="F51" s="1"/>
      <c r="G51" s="1"/>
      <c r="H51" s="1"/>
      <c r="I51" s="1"/>
      <c r="J51" s="1"/>
      <c r="K51" s="1"/>
      <c r="L51" s="1"/>
      <c r="M51" s="1"/>
      <c r="N51" s="1"/>
    </row>
    <row r="52" ht="22.5" customHeight="1">
      <c r="A52" s="1"/>
      <c r="B52" s="1"/>
      <c r="C52" s="1"/>
      <c r="D52" s="1"/>
      <c r="E52" s="1"/>
      <c r="F52" s="1"/>
      <c r="G52" s="1"/>
      <c r="H52" s="1"/>
      <c r="I52" s="1"/>
      <c r="J52" s="1"/>
      <c r="K52" s="1"/>
      <c r="L52" s="1"/>
      <c r="M52" s="1"/>
      <c r="N52" s="1"/>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7.63"/>
    <col customWidth="1" min="2" max="2" width="118.88"/>
    <col customWidth="1" min="3" max="6" width="12.0"/>
    <col customWidth="1" min="7" max="26" width="8.63"/>
  </cols>
  <sheetData>
    <row r="1" ht="27.0" customHeight="1">
      <c r="A1" s="22" t="s">
        <v>183</v>
      </c>
    </row>
    <row r="2" ht="39.0" customHeight="1">
      <c r="A2" s="23" t="s">
        <v>184</v>
      </c>
      <c r="B2" s="24" t="s">
        <v>185</v>
      </c>
    </row>
    <row r="3" ht="39.0" customHeight="1">
      <c r="A3" s="25" t="s">
        <v>186</v>
      </c>
      <c r="B3" s="24" t="s">
        <v>187</v>
      </c>
    </row>
    <row r="4" ht="27.0" customHeight="1">
      <c r="A4" s="26" t="s">
        <v>188</v>
      </c>
      <c r="B4" s="27" t="s">
        <v>189</v>
      </c>
    </row>
    <row r="5" ht="49.5" customHeight="1">
      <c r="A5" s="23" t="s">
        <v>190</v>
      </c>
      <c r="B5" s="24" t="s">
        <v>191</v>
      </c>
    </row>
    <row r="6" ht="49.5" customHeight="1">
      <c r="A6" s="23" t="s">
        <v>192</v>
      </c>
      <c r="B6" s="24" t="s">
        <v>193</v>
      </c>
    </row>
    <row r="7" ht="49.5" customHeight="1">
      <c r="A7" s="23" t="s">
        <v>194</v>
      </c>
      <c r="B7" s="24" t="s">
        <v>195</v>
      </c>
    </row>
    <row r="8" ht="49.5" customHeight="1">
      <c r="A8" s="23" t="s">
        <v>196</v>
      </c>
      <c r="B8" s="24" t="s">
        <v>197</v>
      </c>
    </row>
    <row r="9" ht="49.5" customHeight="1">
      <c r="A9" s="23" t="s">
        <v>198</v>
      </c>
      <c r="B9" s="24" t="s">
        <v>199</v>
      </c>
    </row>
    <row r="10" ht="49.5" customHeight="1">
      <c r="A10" s="23" t="s">
        <v>200</v>
      </c>
      <c r="B10" s="24" t="s">
        <v>201</v>
      </c>
    </row>
    <row r="11" ht="49.5" customHeight="1">
      <c r="A11" s="23" t="s">
        <v>202</v>
      </c>
      <c r="B11" s="24" t="s">
        <v>203</v>
      </c>
    </row>
    <row r="12" ht="49.5" customHeight="1">
      <c r="A12" s="23" t="s">
        <v>204</v>
      </c>
      <c r="B12" s="24" t="s">
        <v>205</v>
      </c>
    </row>
    <row r="13" ht="49.5" customHeight="1">
      <c r="A13" s="23" t="s">
        <v>207</v>
      </c>
      <c r="B13" s="24" t="s">
        <v>208</v>
      </c>
    </row>
    <row r="14" ht="49.5" customHeight="1">
      <c r="A14" s="23" t="s">
        <v>209</v>
      </c>
      <c r="B14" s="24" t="s">
        <v>210</v>
      </c>
    </row>
    <row r="15" ht="49.5" customHeight="1">
      <c r="A15" s="23" t="s">
        <v>211</v>
      </c>
      <c r="B15" s="24" t="s">
        <v>213</v>
      </c>
    </row>
    <row r="16" ht="49.5" customHeight="1">
      <c r="A16" s="23" t="s">
        <v>214</v>
      </c>
      <c r="B16" s="24" t="s">
        <v>215</v>
      </c>
    </row>
    <row r="17" ht="49.5" customHeight="1">
      <c r="A17" s="23" t="s">
        <v>216</v>
      </c>
      <c r="B17" s="24" t="s">
        <v>217</v>
      </c>
    </row>
    <row r="18" ht="49.5" customHeight="1">
      <c r="A18" s="23" t="s">
        <v>218</v>
      </c>
      <c r="B18" s="24" t="s">
        <v>219</v>
      </c>
    </row>
    <row r="19" ht="49.5" customHeight="1">
      <c r="A19" s="23" t="s">
        <v>220</v>
      </c>
      <c r="B19" s="24" t="s">
        <v>221</v>
      </c>
    </row>
    <row r="20" ht="49.5" customHeight="1">
      <c r="A20" s="23" t="s">
        <v>222</v>
      </c>
      <c r="B20" s="24" t="s">
        <v>223</v>
      </c>
    </row>
    <row r="21" ht="49.5" customHeight="1">
      <c r="A21" s="23" t="s">
        <v>224</v>
      </c>
      <c r="B21" s="24" t="s">
        <v>225</v>
      </c>
    </row>
    <row r="22" ht="49.5" customHeight="1">
      <c r="A22" s="23" t="s">
        <v>226</v>
      </c>
      <c r="B22" s="28" t="s">
        <v>228</v>
      </c>
    </row>
    <row r="23" ht="49.5" customHeight="1">
      <c r="A23" s="23" t="s">
        <v>229</v>
      </c>
      <c r="B23" s="24" t="s">
        <v>230</v>
      </c>
    </row>
    <row r="24" ht="49.5" customHeight="1">
      <c r="A24" s="23" t="s">
        <v>231</v>
      </c>
      <c r="B24" s="24" t="s">
        <v>232</v>
      </c>
    </row>
    <row r="25" ht="12.0" customHeight="1">
      <c r="A25" s="23"/>
      <c r="B25" s="24"/>
    </row>
    <row r="26" ht="12.0" customHeight="1">
      <c r="A26" s="23"/>
      <c r="B26" s="24"/>
    </row>
    <row r="27" ht="12.0" customHeight="1">
      <c r="A27" s="23"/>
      <c r="B27" s="24"/>
    </row>
    <row r="28" ht="12.0" customHeight="1">
      <c r="A28" s="29"/>
      <c r="B28" s="30"/>
    </row>
    <row r="29" ht="12.0" customHeight="1">
      <c r="A29" s="29"/>
      <c r="B29" s="30"/>
    </row>
    <row r="30" ht="27.0" customHeight="1">
      <c r="A30" s="31" t="s">
        <v>234</v>
      </c>
      <c r="B30" s="32" t="s">
        <v>235</v>
      </c>
    </row>
    <row r="31" ht="49.5" customHeight="1">
      <c r="A31" s="29" t="s">
        <v>237</v>
      </c>
      <c r="B31" s="30" t="s">
        <v>238</v>
      </c>
    </row>
    <row r="32" ht="49.5" customHeight="1">
      <c r="A32" s="29" t="s">
        <v>239</v>
      </c>
      <c r="B32" s="30" t="s">
        <v>240</v>
      </c>
    </row>
    <row r="33" ht="49.5" customHeight="1">
      <c r="A33" s="29" t="s">
        <v>242</v>
      </c>
      <c r="B33" s="30" t="s">
        <v>245</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0.13"/>
    <col customWidth="1" min="2" max="2" width="25.13"/>
    <col customWidth="1" min="3" max="3" width="23.88"/>
    <col customWidth="1" min="4" max="5" width="12.63"/>
    <col customWidth="1" min="6" max="6" width="11.38"/>
    <col customWidth="1" min="7" max="7" width="28.88"/>
    <col customWidth="1" min="8" max="8" width="13.88"/>
    <col customWidth="1" min="9" max="9" width="24.5"/>
  </cols>
  <sheetData>
    <row r="1" ht="24.0" customHeight="1">
      <c r="A1" s="5" t="s">
        <v>263</v>
      </c>
    </row>
    <row r="2" ht="37.5" customHeight="1">
      <c r="A2" s="6" t="s">
        <v>264</v>
      </c>
    </row>
    <row r="3" ht="24.0" customHeight="1">
      <c r="A3" s="6"/>
      <c r="B3" s="6"/>
      <c r="C3" s="6"/>
      <c r="D3" s="6"/>
      <c r="E3" s="6"/>
      <c r="F3" s="6"/>
      <c r="G3" s="6" t="s">
        <v>265</v>
      </c>
      <c r="H3" s="6">
        <f>SUM(F5:F104)</f>
        <v>0</v>
      </c>
      <c r="I3" s="6"/>
    </row>
    <row r="4" ht="45.0" customHeight="1">
      <c r="A4" s="7" t="s">
        <v>266</v>
      </c>
      <c r="B4" s="7" t="s">
        <v>267</v>
      </c>
      <c r="C4" s="7" t="s">
        <v>268</v>
      </c>
      <c r="D4" s="7" t="s">
        <v>269</v>
      </c>
      <c r="E4" s="7" t="s">
        <v>270</v>
      </c>
      <c r="F4" s="31" t="s">
        <v>271</v>
      </c>
      <c r="G4" s="7" t="s">
        <v>272</v>
      </c>
      <c r="H4" s="7" t="s">
        <v>27</v>
      </c>
      <c r="I4" s="7" t="s">
        <v>273</v>
      </c>
    </row>
    <row r="5" ht="45.0" customHeight="1">
      <c r="A5" s="10"/>
      <c r="B5" s="10"/>
      <c r="C5" s="10"/>
      <c r="D5" s="35"/>
      <c r="E5" s="35"/>
      <c r="F5" s="10"/>
      <c r="G5" s="10"/>
      <c r="H5" s="10"/>
      <c r="I5" s="10"/>
    </row>
    <row r="6" ht="45.0" customHeight="1">
      <c r="A6" s="10"/>
      <c r="B6" s="10"/>
      <c r="C6" s="10"/>
      <c r="D6" s="35"/>
      <c r="E6" s="35"/>
      <c r="F6" s="10"/>
      <c r="G6" s="10"/>
      <c r="H6" s="10"/>
      <c r="I6" s="10"/>
    </row>
    <row r="7" ht="45.0" customHeight="1">
      <c r="A7" s="10"/>
      <c r="B7" s="10"/>
      <c r="C7" s="10"/>
      <c r="D7" s="35"/>
      <c r="E7" s="35"/>
      <c r="F7" s="10"/>
      <c r="G7" s="10"/>
      <c r="H7" s="10"/>
      <c r="I7" s="10"/>
    </row>
    <row r="8" ht="45.0" customHeight="1">
      <c r="A8" s="10"/>
      <c r="B8" s="10"/>
      <c r="C8" s="10"/>
      <c r="D8" s="35"/>
      <c r="E8" s="35"/>
      <c r="F8" s="10"/>
      <c r="G8" s="10"/>
      <c r="H8" s="10"/>
      <c r="I8" s="10"/>
    </row>
    <row r="9" ht="45.0" customHeight="1">
      <c r="A9" s="10"/>
      <c r="B9" s="10"/>
      <c r="C9" s="10"/>
      <c r="D9" s="35"/>
      <c r="E9" s="35"/>
      <c r="F9" s="10"/>
      <c r="G9" s="10"/>
      <c r="H9" s="10"/>
      <c r="I9" s="10"/>
    </row>
    <row r="10" ht="45.0" customHeight="1">
      <c r="A10" s="10"/>
      <c r="B10" s="10"/>
      <c r="C10" s="10"/>
      <c r="D10" s="35"/>
      <c r="E10" s="35"/>
      <c r="F10" s="10"/>
      <c r="G10" s="10"/>
      <c r="H10" s="10"/>
      <c r="I10" s="10"/>
    </row>
    <row r="11" ht="45.0" customHeight="1">
      <c r="A11" s="10"/>
      <c r="B11" s="10"/>
      <c r="C11" s="10"/>
      <c r="D11" s="35"/>
      <c r="E11" s="35"/>
      <c r="F11" s="10"/>
      <c r="G11" s="10"/>
      <c r="H11" s="10"/>
      <c r="I11" s="10"/>
    </row>
    <row r="12" ht="45.0" customHeight="1">
      <c r="A12" s="10"/>
      <c r="B12" s="10"/>
      <c r="C12" s="10"/>
      <c r="D12" s="35"/>
      <c r="E12" s="35"/>
      <c r="F12" s="10"/>
      <c r="G12" s="10"/>
      <c r="H12" s="10"/>
      <c r="I12" s="10"/>
    </row>
    <row r="13" ht="45.0" customHeight="1">
      <c r="A13" s="10"/>
      <c r="B13" s="10"/>
      <c r="C13" s="10"/>
      <c r="D13" s="35"/>
      <c r="E13" s="35"/>
      <c r="F13" s="10"/>
      <c r="G13" s="10"/>
      <c r="H13" s="10"/>
      <c r="I13" s="10"/>
    </row>
    <row r="14" ht="45.0" customHeight="1">
      <c r="A14" s="10"/>
      <c r="B14" s="10"/>
      <c r="C14" s="10"/>
      <c r="D14" s="35"/>
      <c r="E14" s="35"/>
      <c r="F14" s="10"/>
      <c r="G14" s="10"/>
      <c r="H14" s="10"/>
      <c r="I14" s="10"/>
    </row>
    <row r="15" ht="45.0" customHeight="1">
      <c r="A15" s="10"/>
      <c r="B15" s="10"/>
      <c r="C15" s="10"/>
      <c r="D15" s="35"/>
      <c r="E15" s="35"/>
      <c r="F15" s="10"/>
      <c r="G15" s="10"/>
      <c r="H15" s="10"/>
      <c r="I15" s="10"/>
    </row>
    <row r="16" ht="45.0" customHeight="1">
      <c r="A16" s="10"/>
      <c r="B16" s="10"/>
      <c r="C16" s="10"/>
      <c r="D16" s="35"/>
      <c r="E16" s="35"/>
      <c r="F16" s="10"/>
      <c r="G16" s="10"/>
      <c r="H16" s="10"/>
      <c r="I16" s="10"/>
    </row>
    <row r="17" ht="45.0" customHeight="1">
      <c r="A17" s="10"/>
      <c r="B17" s="10"/>
      <c r="C17" s="10"/>
      <c r="D17" s="35"/>
      <c r="E17" s="35"/>
      <c r="F17" s="10"/>
      <c r="G17" s="10"/>
      <c r="H17" s="10"/>
      <c r="I17" s="10"/>
    </row>
    <row r="18" ht="45.0" customHeight="1">
      <c r="A18" s="10"/>
      <c r="B18" s="10"/>
      <c r="C18" s="10"/>
      <c r="D18" s="35"/>
      <c r="E18" s="35"/>
      <c r="F18" s="10"/>
      <c r="G18" s="10"/>
      <c r="H18" s="10"/>
      <c r="I18" s="10"/>
    </row>
    <row r="19" ht="45.0" customHeight="1">
      <c r="A19" s="10"/>
      <c r="B19" s="10"/>
      <c r="C19" s="10"/>
      <c r="D19" s="35"/>
      <c r="E19" s="35"/>
      <c r="F19" s="10"/>
      <c r="G19" s="10"/>
      <c r="H19" s="10"/>
      <c r="I19" s="10"/>
    </row>
    <row r="20" ht="45.0" customHeight="1">
      <c r="A20" s="10"/>
      <c r="B20" s="10"/>
      <c r="C20" s="10"/>
      <c r="D20" s="35"/>
      <c r="E20" s="35"/>
      <c r="F20" s="10"/>
      <c r="G20" s="10"/>
      <c r="H20" s="10"/>
      <c r="I20" s="10"/>
    </row>
    <row r="21" ht="45.0" customHeight="1">
      <c r="A21" s="10"/>
      <c r="B21" s="10"/>
      <c r="C21" s="10"/>
      <c r="D21" s="35"/>
      <c r="E21" s="35"/>
      <c r="F21" s="10"/>
      <c r="G21" s="10"/>
      <c r="H21" s="10"/>
      <c r="I21" s="10"/>
    </row>
    <row r="22" ht="45.0" customHeight="1">
      <c r="A22" s="10"/>
      <c r="B22" s="10"/>
      <c r="C22" s="10"/>
      <c r="D22" s="35"/>
      <c r="E22" s="35"/>
      <c r="F22" s="10"/>
      <c r="G22" s="10"/>
      <c r="H22" s="10"/>
      <c r="I22" s="10"/>
    </row>
    <row r="23" ht="45.0" customHeight="1">
      <c r="A23" s="10"/>
      <c r="B23" s="10"/>
      <c r="C23" s="10"/>
      <c r="D23" s="35"/>
      <c r="E23" s="35"/>
      <c r="F23" s="10"/>
      <c r="G23" s="10"/>
      <c r="H23" s="10"/>
      <c r="I23" s="10"/>
    </row>
    <row r="24" ht="45.0" customHeight="1">
      <c r="A24" s="10"/>
      <c r="B24" s="10"/>
      <c r="C24" s="10"/>
      <c r="D24" s="35"/>
      <c r="E24" s="35"/>
      <c r="F24" s="10"/>
      <c r="G24" s="10"/>
      <c r="H24" s="10"/>
      <c r="I24" s="10"/>
    </row>
    <row r="25">
      <c r="A25" s="6"/>
      <c r="B25" s="6"/>
      <c r="C25" s="6"/>
      <c r="D25" s="36"/>
      <c r="E25" s="36"/>
      <c r="F25" s="6"/>
      <c r="G25" s="6"/>
      <c r="H25" s="6"/>
      <c r="I25" s="6"/>
    </row>
    <row r="26">
      <c r="A26" s="6"/>
      <c r="B26" s="6"/>
      <c r="C26" s="6"/>
      <c r="D26" s="36"/>
      <c r="E26" s="36"/>
      <c r="F26" s="6"/>
      <c r="G26" s="6"/>
      <c r="H26" s="6"/>
      <c r="I26" s="6"/>
    </row>
    <row r="27">
      <c r="A27" s="6"/>
      <c r="B27" s="6"/>
      <c r="C27" s="6"/>
      <c r="D27" s="36"/>
      <c r="E27" s="36"/>
      <c r="F27" s="6"/>
      <c r="G27" s="6"/>
      <c r="H27" s="6"/>
      <c r="I27" s="6"/>
    </row>
    <row r="28">
      <c r="A28" s="6"/>
      <c r="B28" s="6"/>
      <c r="C28" s="6"/>
      <c r="D28" s="36"/>
      <c r="E28" s="36"/>
      <c r="F28" s="6"/>
      <c r="G28" s="6"/>
      <c r="H28" s="6"/>
      <c r="I28" s="6"/>
    </row>
    <row r="29">
      <c r="A29" s="6"/>
      <c r="B29" s="6"/>
      <c r="C29" s="6"/>
      <c r="D29" s="36"/>
      <c r="E29" s="36"/>
      <c r="F29" s="6"/>
      <c r="G29" s="6"/>
      <c r="H29" s="6"/>
      <c r="I29" s="6"/>
    </row>
    <row r="30">
      <c r="A30" s="6"/>
      <c r="B30" s="6"/>
      <c r="C30" s="6"/>
      <c r="D30" s="36"/>
      <c r="E30" s="36"/>
      <c r="F30" s="6"/>
      <c r="G30" s="6"/>
      <c r="H30" s="6"/>
      <c r="I30" s="6"/>
    </row>
    <row r="31">
      <c r="A31" s="6"/>
      <c r="B31" s="6"/>
      <c r="C31" s="6"/>
      <c r="D31" s="36"/>
      <c r="E31" s="36"/>
      <c r="F31" s="6"/>
      <c r="G31" s="6"/>
      <c r="H31" s="6"/>
      <c r="I31" s="6"/>
    </row>
    <row r="32">
      <c r="A32" s="6"/>
      <c r="B32" s="6"/>
      <c r="C32" s="6"/>
      <c r="D32" s="36"/>
      <c r="E32" s="36"/>
      <c r="F32" s="6"/>
      <c r="G32" s="6"/>
      <c r="H32" s="6"/>
      <c r="I32" s="6"/>
    </row>
    <row r="33">
      <c r="A33" s="6"/>
      <c r="B33" s="6"/>
      <c r="C33" s="6"/>
      <c r="D33" s="36"/>
      <c r="E33" s="36"/>
      <c r="F33" s="6"/>
      <c r="G33" s="6"/>
      <c r="H33" s="6"/>
      <c r="I33" s="6"/>
    </row>
    <row r="34">
      <c r="A34" s="6"/>
      <c r="B34" s="6"/>
      <c r="C34" s="6"/>
      <c r="D34" s="36"/>
      <c r="E34" s="36"/>
      <c r="F34" s="6"/>
      <c r="G34" s="6"/>
      <c r="H34" s="6"/>
      <c r="I34" s="6"/>
    </row>
    <row r="35">
      <c r="A35" s="6"/>
      <c r="B35" s="6"/>
      <c r="C35" s="6"/>
      <c r="D35" s="36"/>
      <c r="E35" s="36"/>
      <c r="F35" s="6"/>
      <c r="G35" s="6"/>
      <c r="H35" s="6"/>
      <c r="I35" s="6"/>
    </row>
    <row r="36">
      <c r="A36" s="6"/>
      <c r="B36" s="6"/>
      <c r="C36" s="6"/>
      <c r="D36" s="36"/>
      <c r="E36" s="36"/>
      <c r="F36" s="6"/>
      <c r="G36" s="6"/>
      <c r="H36" s="6"/>
      <c r="I36" s="6"/>
    </row>
    <row r="37">
      <c r="A37" s="6"/>
      <c r="B37" s="6"/>
      <c r="C37" s="6"/>
      <c r="D37" s="36"/>
      <c r="E37" s="36"/>
      <c r="F37" s="6"/>
      <c r="G37" s="6"/>
      <c r="H37" s="6"/>
      <c r="I37" s="6"/>
    </row>
    <row r="38">
      <c r="A38" s="6"/>
      <c r="B38" s="6"/>
      <c r="C38" s="6"/>
      <c r="D38" s="36"/>
      <c r="E38" s="36"/>
      <c r="F38" s="6"/>
      <c r="G38" s="6"/>
      <c r="H38" s="6"/>
      <c r="I38" s="6"/>
    </row>
    <row r="39">
      <c r="A39" s="6"/>
      <c r="B39" s="6"/>
      <c r="C39" s="6"/>
      <c r="D39" s="36"/>
      <c r="E39" s="36"/>
      <c r="F39" s="6"/>
      <c r="G39" s="6"/>
      <c r="H39" s="6"/>
      <c r="I39" s="6"/>
    </row>
    <row r="40">
      <c r="A40" s="6"/>
      <c r="B40" s="6"/>
      <c r="C40" s="6"/>
      <c r="D40" s="36"/>
      <c r="E40" s="36"/>
      <c r="F40" s="6"/>
      <c r="G40" s="6"/>
      <c r="H40" s="6"/>
      <c r="I40" s="6"/>
    </row>
    <row r="41">
      <c r="A41" s="6"/>
      <c r="B41" s="6"/>
      <c r="C41" s="6"/>
      <c r="D41" s="36"/>
      <c r="E41" s="36"/>
      <c r="F41" s="6"/>
      <c r="G41" s="6"/>
      <c r="H41" s="6"/>
      <c r="I41" s="6"/>
    </row>
    <row r="42">
      <c r="A42" s="6"/>
      <c r="B42" s="6"/>
      <c r="C42" s="6"/>
      <c r="D42" s="36"/>
      <c r="E42" s="36"/>
      <c r="F42" s="6"/>
      <c r="G42" s="6"/>
      <c r="H42" s="6"/>
      <c r="I42" s="6"/>
    </row>
    <row r="43">
      <c r="A43" s="6"/>
      <c r="B43" s="6"/>
      <c r="C43" s="6"/>
      <c r="D43" s="36"/>
      <c r="E43" s="36"/>
      <c r="F43" s="6"/>
      <c r="G43" s="6"/>
      <c r="H43" s="6"/>
      <c r="I43" s="6"/>
    </row>
    <row r="44">
      <c r="A44" s="6"/>
      <c r="B44" s="6"/>
      <c r="C44" s="6"/>
      <c r="D44" s="36"/>
      <c r="E44" s="36"/>
      <c r="F44" s="6"/>
      <c r="G44" s="6"/>
      <c r="H44" s="6"/>
      <c r="I44" s="6"/>
    </row>
    <row r="45">
      <c r="A45" s="6"/>
      <c r="B45" s="6"/>
      <c r="C45" s="6"/>
      <c r="D45" s="36"/>
      <c r="E45" s="36"/>
      <c r="F45" s="6"/>
      <c r="G45" s="6"/>
      <c r="H45" s="6"/>
      <c r="I45" s="6"/>
    </row>
    <row r="46">
      <c r="A46" s="6"/>
      <c r="B46" s="6"/>
      <c r="C46" s="6"/>
      <c r="D46" s="36"/>
      <c r="E46" s="36"/>
      <c r="F46" s="6"/>
      <c r="G46" s="6"/>
      <c r="H46" s="6"/>
      <c r="I46" s="6"/>
    </row>
    <row r="47">
      <c r="A47" s="6"/>
      <c r="B47" s="6"/>
      <c r="C47" s="6"/>
      <c r="D47" s="36"/>
      <c r="E47" s="36"/>
      <c r="F47" s="6"/>
      <c r="G47" s="6"/>
      <c r="H47" s="6"/>
      <c r="I47" s="6"/>
    </row>
    <row r="48">
      <c r="A48" s="6"/>
      <c r="B48" s="6"/>
      <c r="C48" s="6"/>
      <c r="D48" s="36"/>
      <c r="E48" s="36"/>
      <c r="F48" s="6"/>
      <c r="G48" s="6"/>
      <c r="H48" s="6"/>
      <c r="I48" s="6"/>
    </row>
    <row r="49">
      <c r="A49" s="6"/>
      <c r="B49" s="6"/>
      <c r="C49" s="6"/>
      <c r="D49" s="36"/>
      <c r="E49" s="36"/>
      <c r="F49" s="6"/>
      <c r="G49" s="6"/>
      <c r="H49" s="6"/>
      <c r="I49" s="6"/>
    </row>
    <row r="50">
      <c r="A50" s="6"/>
      <c r="B50" s="6"/>
      <c r="C50" s="6"/>
      <c r="D50" s="36"/>
      <c r="E50" s="36"/>
      <c r="F50" s="6"/>
      <c r="G50" s="6"/>
      <c r="H50" s="6"/>
      <c r="I50" s="6"/>
    </row>
    <row r="51">
      <c r="A51" s="6"/>
      <c r="B51" s="6"/>
      <c r="C51" s="6"/>
      <c r="D51" s="36"/>
      <c r="E51" s="36"/>
      <c r="F51" s="6"/>
      <c r="G51" s="6"/>
      <c r="H51" s="6"/>
      <c r="I51" s="6"/>
    </row>
    <row r="52">
      <c r="A52" s="6"/>
      <c r="B52" s="6"/>
      <c r="C52" s="6"/>
      <c r="D52" s="36"/>
      <c r="E52" s="36"/>
      <c r="F52" s="6"/>
      <c r="G52" s="6"/>
      <c r="H52" s="6"/>
      <c r="I52" s="6"/>
    </row>
    <row r="53">
      <c r="A53" s="6"/>
      <c r="B53" s="6"/>
      <c r="C53" s="6"/>
      <c r="D53" s="36"/>
      <c r="E53" s="36"/>
      <c r="F53" s="6"/>
      <c r="G53" s="6"/>
      <c r="H53" s="6"/>
      <c r="I53" s="6"/>
    </row>
    <row r="54">
      <c r="A54" s="6"/>
      <c r="B54" s="6"/>
      <c r="C54" s="6"/>
      <c r="D54" s="36"/>
      <c r="E54" s="36"/>
      <c r="F54" s="6"/>
      <c r="G54" s="6"/>
      <c r="H54" s="6"/>
      <c r="I54" s="6"/>
    </row>
    <row r="55">
      <c r="A55" s="6"/>
      <c r="B55" s="6"/>
      <c r="C55" s="6"/>
      <c r="D55" s="36"/>
      <c r="E55" s="36"/>
      <c r="F55" s="6"/>
      <c r="G55" s="6"/>
      <c r="H55" s="6"/>
      <c r="I55" s="6"/>
    </row>
    <row r="56">
      <c r="A56" s="6"/>
      <c r="B56" s="6"/>
      <c r="C56" s="6"/>
      <c r="D56" s="36"/>
      <c r="E56" s="36"/>
      <c r="F56" s="6"/>
      <c r="G56" s="6"/>
      <c r="H56" s="6"/>
      <c r="I56" s="6"/>
    </row>
    <row r="57">
      <c r="A57" s="6"/>
      <c r="B57" s="6"/>
      <c r="C57" s="6"/>
      <c r="D57" s="36"/>
      <c r="E57" s="36"/>
      <c r="F57" s="6"/>
      <c r="G57" s="6"/>
      <c r="H57" s="6"/>
      <c r="I57" s="6"/>
    </row>
    <row r="58">
      <c r="A58" s="6"/>
      <c r="B58" s="6"/>
      <c r="C58" s="6"/>
      <c r="D58" s="36"/>
      <c r="E58" s="36"/>
      <c r="F58" s="6"/>
      <c r="G58" s="6"/>
      <c r="H58" s="6"/>
      <c r="I58" s="6"/>
    </row>
    <row r="59">
      <c r="A59" s="6"/>
      <c r="B59" s="6"/>
      <c r="C59" s="6"/>
      <c r="D59" s="36"/>
      <c r="E59" s="36"/>
      <c r="F59" s="6"/>
      <c r="G59" s="6"/>
      <c r="H59" s="6"/>
      <c r="I59" s="6"/>
    </row>
    <row r="60">
      <c r="A60" s="6"/>
      <c r="B60" s="6"/>
      <c r="C60" s="6"/>
      <c r="D60" s="36"/>
      <c r="E60" s="36"/>
      <c r="F60" s="6"/>
      <c r="G60" s="6"/>
      <c r="H60" s="6"/>
      <c r="I60" s="6"/>
    </row>
    <row r="61">
      <c r="A61" s="6"/>
      <c r="B61" s="6"/>
      <c r="C61" s="6"/>
      <c r="D61" s="36"/>
      <c r="E61" s="36"/>
      <c r="F61" s="6"/>
      <c r="G61" s="6"/>
      <c r="H61" s="6"/>
      <c r="I61" s="6"/>
    </row>
    <row r="62">
      <c r="A62" s="6"/>
      <c r="B62" s="6"/>
      <c r="C62" s="6"/>
      <c r="D62" s="36"/>
      <c r="E62" s="36"/>
      <c r="F62" s="6"/>
      <c r="G62" s="6"/>
      <c r="H62" s="6"/>
      <c r="I62" s="6"/>
    </row>
    <row r="63">
      <c r="A63" s="6"/>
      <c r="B63" s="6"/>
      <c r="C63" s="6"/>
      <c r="D63" s="36"/>
      <c r="E63" s="36"/>
      <c r="F63" s="6"/>
      <c r="G63" s="6"/>
      <c r="H63" s="6"/>
      <c r="I63" s="6"/>
    </row>
    <row r="64">
      <c r="A64" s="6"/>
      <c r="B64" s="6"/>
      <c r="C64" s="6"/>
      <c r="D64" s="36"/>
      <c r="E64" s="36"/>
      <c r="F64" s="6"/>
      <c r="G64" s="6"/>
      <c r="H64" s="6"/>
      <c r="I64" s="6"/>
    </row>
    <row r="65">
      <c r="A65" s="6"/>
      <c r="B65" s="6"/>
      <c r="C65" s="6"/>
      <c r="D65" s="36"/>
      <c r="E65" s="36"/>
      <c r="F65" s="6"/>
      <c r="G65" s="6"/>
      <c r="H65" s="6"/>
      <c r="I65" s="6"/>
    </row>
    <row r="66">
      <c r="A66" s="6"/>
      <c r="B66" s="6"/>
      <c r="C66" s="6"/>
      <c r="D66" s="36"/>
      <c r="E66" s="36"/>
      <c r="F66" s="6"/>
      <c r="G66" s="6"/>
      <c r="H66" s="6"/>
      <c r="I66" s="6"/>
    </row>
    <row r="67">
      <c r="A67" s="6"/>
      <c r="B67" s="6"/>
      <c r="C67" s="6"/>
      <c r="D67" s="36"/>
      <c r="E67" s="36"/>
      <c r="F67" s="6"/>
      <c r="G67" s="6"/>
      <c r="H67" s="6"/>
      <c r="I67" s="6"/>
    </row>
    <row r="68">
      <c r="A68" s="6"/>
      <c r="B68" s="6"/>
      <c r="C68" s="6"/>
      <c r="D68" s="36"/>
      <c r="E68" s="36"/>
      <c r="F68" s="6"/>
      <c r="G68" s="6"/>
      <c r="H68" s="6"/>
      <c r="I68" s="6"/>
    </row>
    <row r="69">
      <c r="A69" s="6"/>
      <c r="B69" s="6"/>
      <c r="C69" s="6"/>
      <c r="D69" s="36"/>
      <c r="E69" s="36"/>
      <c r="F69" s="6"/>
      <c r="G69" s="6"/>
      <c r="H69" s="6"/>
      <c r="I69" s="6"/>
    </row>
    <row r="70">
      <c r="A70" s="6"/>
      <c r="B70" s="6"/>
      <c r="C70" s="6"/>
      <c r="D70" s="36"/>
      <c r="E70" s="36"/>
      <c r="F70" s="6"/>
      <c r="G70" s="6"/>
      <c r="H70" s="6"/>
      <c r="I70" s="6"/>
    </row>
    <row r="71">
      <c r="A71" s="6"/>
      <c r="B71" s="6"/>
      <c r="C71" s="6"/>
      <c r="D71" s="36"/>
      <c r="E71" s="36"/>
      <c r="F71" s="6"/>
      <c r="G71" s="6"/>
      <c r="H71" s="6"/>
      <c r="I71" s="6"/>
    </row>
    <row r="72">
      <c r="A72" s="6"/>
      <c r="B72" s="6"/>
      <c r="C72" s="6"/>
      <c r="D72" s="36"/>
      <c r="E72" s="36"/>
      <c r="F72" s="6"/>
      <c r="G72" s="6"/>
      <c r="H72" s="6"/>
      <c r="I72" s="6"/>
    </row>
    <row r="73">
      <c r="A73" s="6"/>
      <c r="B73" s="6"/>
      <c r="C73" s="6"/>
      <c r="D73" s="36"/>
      <c r="E73" s="36"/>
      <c r="F73" s="6"/>
      <c r="G73" s="6"/>
      <c r="H73" s="6"/>
      <c r="I73" s="6"/>
    </row>
    <row r="74">
      <c r="A74" s="6"/>
      <c r="B74" s="6"/>
      <c r="C74" s="6"/>
      <c r="D74" s="36"/>
      <c r="E74" s="36"/>
      <c r="F74" s="6"/>
      <c r="G74" s="6"/>
      <c r="H74" s="6"/>
      <c r="I74" s="6"/>
    </row>
    <row r="75">
      <c r="A75" s="6"/>
      <c r="B75" s="6"/>
      <c r="C75" s="6"/>
      <c r="D75" s="36"/>
      <c r="E75" s="36"/>
      <c r="F75" s="6"/>
      <c r="G75" s="6"/>
      <c r="H75" s="6"/>
      <c r="I75" s="6"/>
    </row>
    <row r="76">
      <c r="A76" s="6"/>
      <c r="B76" s="6"/>
      <c r="C76" s="6"/>
      <c r="D76" s="36"/>
      <c r="E76" s="36"/>
      <c r="F76" s="6"/>
      <c r="G76" s="6"/>
      <c r="H76" s="6"/>
      <c r="I76" s="6"/>
    </row>
    <row r="77">
      <c r="A77" s="6"/>
      <c r="B77" s="6"/>
      <c r="C77" s="6"/>
      <c r="D77" s="36"/>
      <c r="E77" s="36"/>
      <c r="F77" s="6"/>
      <c r="G77" s="6"/>
      <c r="H77" s="6"/>
      <c r="I77" s="6"/>
    </row>
    <row r="78">
      <c r="A78" s="6"/>
      <c r="B78" s="6"/>
      <c r="C78" s="6"/>
      <c r="D78" s="36"/>
      <c r="E78" s="36"/>
      <c r="F78" s="6"/>
      <c r="G78" s="6"/>
      <c r="H78" s="6"/>
      <c r="I78" s="6"/>
    </row>
    <row r="79">
      <c r="A79" s="6"/>
      <c r="B79" s="6"/>
      <c r="C79" s="6"/>
      <c r="D79" s="36"/>
      <c r="E79" s="36"/>
      <c r="F79" s="6"/>
      <c r="G79" s="6"/>
      <c r="H79" s="6"/>
      <c r="I79" s="6"/>
    </row>
    <row r="80">
      <c r="A80" s="6"/>
      <c r="B80" s="6"/>
      <c r="C80" s="6"/>
      <c r="D80" s="36"/>
      <c r="E80" s="36"/>
      <c r="F80" s="6"/>
      <c r="G80" s="6"/>
      <c r="H80" s="6"/>
      <c r="I80" s="6"/>
    </row>
    <row r="81">
      <c r="A81" s="6"/>
      <c r="B81" s="6"/>
      <c r="C81" s="6"/>
      <c r="D81" s="36"/>
      <c r="E81" s="36"/>
      <c r="F81" s="6"/>
      <c r="G81" s="6"/>
      <c r="H81" s="6"/>
      <c r="I81" s="6"/>
    </row>
    <row r="82">
      <c r="A82" s="6"/>
      <c r="B82" s="6"/>
      <c r="C82" s="6"/>
      <c r="D82" s="36"/>
      <c r="E82" s="36"/>
      <c r="F82" s="6"/>
      <c r="G82" s="6"/>
      <c r="H82" s="6"/>
      <c r="I82" s="6"/>
    </row>
    <row r="83">
      <c r="A83" s="6"/>
      <c r="B83" s="6"/>
      <c r="C83" s="6"/>
      <c r="D83" s="36"/>
      <c r="E83" s="36"/>
      <c r="F83" s="6"/>
      <c r="G83" s="6"/>
      <c r="H83" s="6"/>
      <c r="I83" s="6"/>
    </row>
    <row r="84">
      <c r="A84" s="6"/>
      <c r="B84" s="6"/>
      <c r="C84" s="6"/>
      <c r="D84" s="36"/>
      <c r="E84" s="36"/>
      <c r="F84" s="6"/>
      <c r="G84" s="6"/>
      <c r="H84" s="6"/>
      <c r="I84" s="6"/>
    </row>
    <row r="85">
      <c r="A85" s="6"/>
      <c r="B85" s="6"/>
      <c r="C85" s="6"/>
      <c r="D85" s="36"/>
      <c r="E85" s="36"/>
      <c r="F85" s="6"/>
      <c r="G85" s="6"/>
      <c r="H85" s="6"/>
      <c r="I85" s="6"/>
    </row>
    <row r="86">
      <c r="A86" s="6"/>
      <c r="B86" s="6"/>
      <c r="C86" s="6"/>
      <c r="D86" s="36"/>
      <c r="E86" s="36"/>
      <c r="F86" s="6"/>
      <c r="G86" s="6"/>
      <c r="H86" s="6"/>
      <c r="I86" s="6"/>
    </row>
    <row r="87">
      <c r="A87" s="6"/>
      <c r="B87" s="6"/>
      <c r="C87" s="6"/>
      <c r="D87" s="36"/>
      <c r="E87" s="36"/>
      <c r="F87" s="6"/>
      <c r="G87" s="6"/>
      <c r="H87" s="6"/>
      <c r="I87" s="6"/>
    </row>
    <row r="88">
      <c r="A88" s="6"/>
      <c r="B88" s="6"/>
      <c r="C88" s="6"/>
      <c r="D88" s="36"/>
      <c r="E88" s="36"/>
      <c r="F88" s="6"/>
      <c r="G88" s="6"/>
      <c r="H88" s="6"/>
      <c r="I88" s="6"/>
    </row>
    <row r="89">
      <c r="A89" s="6"/>
      <c r="B89" s="6"/>
      <c r="C89" s="6"/>
      <c r="D89" s="36"/>
      <c r="E89" s="36"/>
      <c r="F89" s="6"/>
      <c r="G89" s="6"/>
      <c r="H89" s="6"/>
      <c r="I89" s="6"/>
    </row>
    <row r="90">
      <c r="A90" s="6"/>
      <c r="B90" s="6"/>
      <c r="C90" s="6"/>
      <c r="D90" s="36"/>
      <c r="E90" s="36"/>
      <c r="F90" s="6"/>
      <c r="G90" s="6"/>
      <c r="H90" s="6"/>
      <c r="I90" s="6"/>
    </row>
    <row r="91">
      <c r="A91" s="6"/>
      <c r="B91" s="6"/>
      <c r="C91" s="6"/>
      <c r="D91" s="36"/>
      <c r="E91" s="36"/>
      <c r="F91" s="6"/>
      <c r="G91" s="6"/>
      <c r="H91" s="6"/>
      <c r="I91" s="6"/>
    </row>
    <row r="92">
      <c r="A92" s="6"/>
      <c r="B92" s="6"/>
      <c r="C92" s="6"/>
      <c r="D92" s="36"/>
      <c r="E92" s="36"/>
      <c r="F92" s="6"/>
      <c r="G92" s="6"/>
      <c r="H92" s="6"/>
      <c r="I92" s="6"/>
    </row>
    <row r="93">
      <c r="A93" s="6"/>
      <c r="B93" s="6"/>
      <c r="C93" s="6"/>
      <c r="D93" s="36"/>
      <c r="E93" s="36"/>
      <c r="F93" s="6"/>
      <c r="G93" s="6"/>
      <c r="H93" s="6"/>
      <c r="I93" s="6"/>
    </row>
    <row r="94">
      <c r="A94" s="6"/>
      <c r="B94" s="6"/>
      <c r="C94" s="6"/>
      <c r="D94" s="36"/>
      <c r="E94" s="36"/>
      <c r="F94" s="6"/>
      <c r="G94" s="6"/>
      <c r="H94" s="6"/>
      <c r="I94" s="6"/>
    </row>
    <row r="95">
      <c r="A95" s="6"/>
      <c r="B95" s="6"/>
      <c r="C95" s="6"/>
      <c r="D95" s="36"/>
      <c r="E95" s="36"/>
      <c r="F95" s="6"/>
      <c r="G95" s="6"/>
      <c r="H95" s="6"/>
      <c r="I95" s="6"/>
    </row>
    <row r="96">
      <c r="A96" s="6"/>
      <c r="B96" s="6"/>
      <c r="C96" s="6"/>
      <c r="D96" s="36"/>
      <c r="E96" s="36"/>
      <c r="F96" s="6"/>
      <c r="G96" s="6"/>
      <c r="H96" s="6"/>
      <c r="I96" s="6"/>
    </row>
    <row r="97">
      <c r="A97" s="6"/>
      <c r="B97" s="6"/>
      <c r="C97" s="6"/>
      <c r="D97" s="36"/>
      <c r="E97" s="36"/>
      <c r="F97" s="6"/>
      <c r="G97" s="6"/>
      <c r="H97" s="6"/>
      <c r="I97" s="6"/>
    </row>
    <row r="98">
      <c r="A98" s="6"/>
      <c r="B98" s="6"/>
      <c r="C98" s="6"/>
      <c r="D98" s="36"/>
      <c r="E98" s="36"/>
      <c r="F98" s="6"/>
      <c r="G98" s="6"/>
      <c r="H98" s="6"/>
      <c r="I98" s="6"/>
    </row>
    <row r="99">
      <c r="A99" s="6"/>
      <c r="B99" s="6"/>
      <c r="C99" s="6"/>
      <c r="D99" s="36"/>
      <c r="E99" s="36"/>
      <c r="F99" s="6"/>
      <c r="G99" s="6"/>
      <c r="H99" s="6"/>
      <c r="I99" s="6"/>
    </row>
    <row r="100">
      <c r="A100" s="6"/>
      <c r="B100" s="6"/>
      <c r="C100" s="6"/>
      <c r="D100" s="36"/>
      <c r="E100" s="36"/>
      <c r="F100" s="6"/>
      <c r="G100" s="6"/>
      <c r="H100" s="6"/>
      <c r="I100" s="6"/>
    </row>
    <row r="101">
      <c r="A101" s="6"/>
      <c r="B101" s="6"/>
      <c r="C101" s="6"/>
      <c r="D101" s="36"/>
      <c r="E101" s="36"/>
      <c r="F101" s="6"/>
      <c r="G101" s="6"/>
      <c r="H101" s="6"/>
      <c r="I101" s="6"/>
    </row>
    <row r="102">
      <c r="A102" s="6"/>
      <c r="B102" s="6"/>
      <c r="C102" s="6"/>
      <c r="D102" s="36"/>
      <c r="E102" s="36"/>
      <c r="F102" s="6"/>
      <c r="G102" s="6"/>
      <c r="H102" s="6"/>
      <c r="I102" s="6"/>
    </row>
    <row r="103">
      <c r="A103" s="6"/>
      <c r="B103" s="6"/>
      <c r="C103" s="6"/>
      <c r="D103" s="36"/>
      <c r="E103" s="36"/>
      <c r="F103" s="6"/>
      <c r="G103" s="6"/>
      <c r="H103" s="6"/>
      <c r="I103" s="6"/>
    </row>
    <row r="104">
      <c r="A104" s="6"/>
      <c r="B104" s="6"/>
      <c r="C104" s="6"/>
      <c r="D104" s="36"/>
      <c r="E104" s="36"/>
      <c r="F104" s="6"/>
      <c r="G104" s="6"/>
      <c r="H104" s="6"/>
      <c r="I104" s="6"/>
    </row>
  </sheetData>
  <autoFilter ref="$A$4:$I$24"/>
  <mergeCells count="2">
    <mergeCell ref="A1:I1"/>
    <mergeCell ref="A2:I2"/>
  </mergeCells>
  <dataValidations>
    <dataValidation type="list" allowBlank="1" showErrorMessage="1" sqref="H5:H104">
      <formula1>"Запланировано,В работе,Выполнено"</formula1>
    </dataValidation>
    <dataValidation type="list" allowBlank="1" showErrorMessage="1" sqref="C5:C104 I5:I104">
      <formula1>"Кветкин Дмитрий Евгеньевич,Колбасин Николай Владимирович,Добросоцкий Михаил Сергеевич,Катаев Максим Игоревич"</formula1>
    </dataValidation>
    <dataValidation type="decimal" operator="greaterThanOrEqual" allowBlank="1" showInputMessage="1" showErrorMessage="1" prompt="Фактическое время одного участника в часах; 30 минут = 0,5 часа." sqref="F5:F104">
      <formula1>0.0</formula1>
    </dataValidation>
  </dataValidations>
  <drawing r:id="rId2"/>
  <legacyDrawing r:id="rId3"/>
</worksheet>
</file>